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https://abhmfg.sharepoint.com/sites/KitProjects/Shared Documents/MultiAX USA Purchase/Letter of Intent/"/>
    </mc:Choice>
  </mc:AlternateContent>
  <xr:revisionPtr revIDLastSave="1" documentId="8_{DC007E0A-8392-4B94-ABD4-D9D7DF2834B4}" xr6:coauthVersionLast="47" xr6:coauthVersionMax="47" xr10:uidLastSave="{F0674825-E7D2-4BA2-980C-C3DE40EA9505}"/>
  <bookViews>
    <workbookView xWindow="38290" yWindow="-110" windowWidth="25820" windowHeight="13900" activeTab="1" xr2:uid="{00000000-000D-0000-FFFF-FFFF00000000}"/>
  </bookViews>
  <sheets>
    <sheet name="Single Wood" sheetId="6" r:id="rId1"/>
    <sheet name="Single Metal" sheetId="4" r:id="rId2"/>
    <sheet name="Double Steel &amp; Wood" sheetId="8" r:id="rId3"/>
  </sheets>
  <definedNames>
    <definedName name="_xlnm.Print_Area" localSheetId="0">'Single Wood'!$A$1:$H$86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4" l="1"/>
  <c r="H59" i="4" s="1"/>
  <c r="H72" i="8"/>
  <c r="G67" i="8"/>
  <c r="H67" i="8" s="1"/>
  <c r="F67" i="8"/>
  <c r="G66" i="8"/>
  <c r="H66" i="8" s="1"/>
  <c r="F66" i="8"/>
  <c r="G65" i="8"/>
  <c r="H65" i="8" s="1"/>
  <c r="F65" i="8"/>
  <c r="G61" i="8"/>
  <c r="G60" i="8"/>
  <c r="F60" i="8"/>
  <c r="H60" i="8" s="1"/>
  <c r="G59" i="8"/>
  <c r="F59" i="8"/>
  <c r="H59" i="8" s="1"/>
  <c r="G58" i="8"/>
  <c r="F58" i="8"/>
  <c r="H58" i="8" s="1"/>
  <c r="G57" i="8"/>
  <c r="F57" i="8"/>
  <c r="H57" i="8" s="1"/>
  <c r="G56" i="8"/>
  <c r="F56" i="8"/>
  <c r="H56" i="8" s="1"/>
  <c r="G55" i="8"/>
  <c r="F55" i="8"/>
  <c r="G54" i="8"/>
  <c r="F54" i="8"/>
  <c r="H54" i="8" s="1"/>
  <c r="G53" i="8"/>
  <c r="F53" i="8"/>
  <c r="H53" i="8" s="1"/>
  <c r="G52" i="8"/>
  <c r="F52" i="8"/>
  <c r="H52" i="8" s="1"/>
  <c r="G51" i="8"/>
  <c r="F51" i="8"/>
  <c r="G50" i="8"/>
  <c r="F50" i="8"/>
  <c r="G49" i="8"/>
  <c r="F49" i="8"/>
  <c r="H49" i="8" s="1"/>
  <c r="G48" i="8"/>
  <c r="H48" i="8" s="1"/>
  <c r="F48" i="8"/>
  <c r="G47" i="8"/>
  <c r="F47" i="8"/>
  <c r="G46" i="8"/>
  <c r="F46" i="8"/>
  <c r="H46" i="8" s="1"/>
  <c r="G45" i="8"/>
  <c r="F45" i="8"/>
  <c r="H45" i="8" s="1"/>
  <c r="G44" i="8"/>
  <c r="F44" i="8"/>
  <c r="H44" i="8" s="1"/>
  <c r="G43" i="8"/>
  <c r="F43" i="8"/>
  <c r="H43" i="8" s="1"/>
  <c r="G42" i="8"/>
  <c r="F42" i="8"/>
  <c r="H42" i="8" s="1"/>
  <c r="G41" i="8"/>
  <c r="F41" i="8"/>
  <c r="H41" i="8" s="1"/>
  <c r="G40" i="8"/>
  <c r="H40" i="8" s="1"/>
  <c r="F40" i="8"/>
  <c r="G39" i="8"/>
  <c r="F39" i="8"/>
  <c r="G38" i="8"/>
  <c r="F38" i="8"/>
  <c r="H38" i="8" s="1"/>
  <c r="G37" i="8"/>
  <c r="F37" i="8"/>
  <c r="H36" i="8"/>
  <c r="G36" i="8"/>
  <c r="F36" i="8"/>
  <c r="G35" i="8"/>
  <c r="F35" i="8"/>
  <c r="H35" i="8" s="1"/>
  <c r="G34" i="8"/>
  <c r="F34" i="8"/>
  <c r="H34" i="8" s="1"/>
  <c r="G33" i="8"/>
  <c r="F33" i="8"/>
  <c r="H33" i="8" s="1"/>
  <c r="G32" i="8"/>
  <c r="F32" i="8"/>
  <c r="H32" i="8" s="1"/>
  <c r="G31" i="8"/>
  <c r="F31" i="8"/>
  <c r="G30" i="8"/>
  <c r="F30" i="8"/>
  <c r="H30" i="8" s="1"/>
  <c r="G29" i="8"/>
  <c r="F29" i="8"/>
  <c r="H29" i="8" s="1"/>
  <c r="G28" i="8"/>
  <c r="F28" i="8"/>
  <c r="H28" i="8" s="1"/>
  <c r="G27" i="8"/>
  <c r="F27" i="8"/>
  <c r="H27" i="8" s="1"/>
  <c r="G26" i="8"/>
  <c r="F26" i="8"/>
  <c r="H26" i="8" s="1"/>
  <c r="G25" i="8"/>
  <c r="F25" i="8"/>
  <c r="H25" i="8" s="1"/>
  <c r="G24" i="8"/>
  <c r="F24" i="8"/>
  <c r="H24" i="8" s="1"/>
  <c r="G23" i="8"/>
  <c r="F23" i="8"/>
  <c r="G22" i="8"/>
  <c r="F22" i="8"/>
  <c r="F21" i="8"/>
  <c r="H21" i="8" s="1"/>
  <c r="G20" i="8"/>
  <c r="F20" i="8"/>
  <c r="H20" i="8" s="1"/>
  <c r="G19" i="8"/>
  <c r="F19" i="8"/>
  <c r="G18" i="8"/>
  <c r="F18" i="8"/>
  <c r="H18" i="8" s="1"/>
  <c r="G17" i="8"/>
  <c r="F17" i="8"/>
  <c r="H17" i="8" s="1"/>
  <c r="G16" i="8"/>
  <c r="F16" i="8"/>
  <c r="H16" i="8" s="1"/>
  <c r="G15" i="8"/>
  <c r="F15" i="8"/>
  <c r="G14" i="8"/>
  <c r="F14" i="8"/>
  <c r="G13" i="8"/>
  <c r="F13" i="8"/>
  <c r="G12" i="8"/>
  <c r="F12" i="8"/>
  <c r="H12" i="8" s="1"/>
  <c r="H6" i="8"/>
  <c r="G56" i="6"/>
  <c r="G54" i="6"/>
  <c r="G52" i="6"/>
  <c r="G21" i="6"/>
  <c r="G55" i="4"/>
  <c r="G54" i="4"/>
  <c r="G52" i="4"/>
  <c r="G56" i="4"/>
  <c r="H73" i="4"/>
  <c r="G68" i="4"/>
  <c r="H68" i="4" s="1"/>
  <c r="F68" i="4"/>
  <c r="G67" i="4"/>
  <c r="H67" i="4" s="1"/>
  <c r="F67" i="4"/>
  <c r="G66" i="4"/>
  <c r="H66" i="4" s="1"/>
  <c r="F66" i="4"/>
  <c r="G62" i="4"/>
  <c r="G61" i="4"/>
  <c r="F61" i="4"/>
  <c r="G60" i="4"/>
  <c r="F60" i="4"/>
  <c r="G58" i="4"/>
  <c r="F58" i="4"/>
  <c r="G57" i="4"/>
  <c r="F57" i="4"/>
  <c r="F56" i="4"/>
  <c r="F55" i="4"/>
  <c r="F54" i="4"/>
  <c r="G53" i="4"/>
  <c r="F53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H6" i="4"/>
  <c r="G55" i="6"/>
  <c r="G39" i="6"/>
  <c r="G51" i="6"/>
  <c r="F51" i="6"/>
  <c r="F67" i="6"/>
  <c r="F66" i="6"/>
  <c r="F65" i="6"/>
  <c r="F60" i="6"/>
  <c r="F59" i="6"/>
  <c r="F58" i="6"/>
  <c r="F57" i="6"/>
  <c r="F56" i="6"/>
  <c r="F55" i="6"/>
  <c r="F54" i="6"/>
  <c r="F53" i="6"/>
  <c r="F52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G67" i="6"/>
  <c r="H67" i="6" s="1"/>
  <c r="G66" i="6"/>
  <c r="H66" i="6" s="1"/>
  <c r="G65" i="6"/>
  <c r="H65" i="6" s="1"/>
  <c r="G61" i="6"/>
  <c r="G60" i="6"/>
  <c r="G59" i="6"/>
  <c r="G58" i="6"/>
  <c r="G57" i="6"/>
  <c r="G53" i="6"/>
  <c r="G50" i="6"/>
  <c r="G49" i="6"/>
  <c r="G48" i="6"/>
  <c r="G47" i="6"/>
  <c r="G46" i="6"/>
  <c r="G45" i="6"/>
  <c r="G44" i="6"/>
  <c r="G43" i="6"/>
  <c r="G42" i="6"/>
  <c r="G41" i="6"/>
  <c r="G40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0" i="6"/>
  <c r="G19" i="6"/>
  <c r="G18" i="6"/>
  <c r="G17" i="6"/>
  <c r="G16" i="6"/>
  <c r="G15" i="6"/>
  <c r="G14" i="6"/>
  <c r="G13" i="6"/>
  <c r="G12" i="6"/>
  <c r="H51" i="8" l="1"/>
  <c r="H37" i="8"/>
  <c r="H39" i="8"/>
  <c r="H23" i="8"/>
  <c r="H48" i="6"/>
  <c r="F69" i="4"/>
  <c r="H19" i="8"/>
  <c r="H31" i="8"/>
  <c r="H41" i="4"/>
  <c r="H57" i="6"/>
  <c r="H55" i="8"/>
  <c r="H37" i="4"/>
  <c r="H14" i="8"/>
  <c r="H50" i="8"/>
  <c r="H15" i="8"/>
  <c r="H60" i="4"/>
  <c r="H26" i="4"/>
  <c r="H22" i="8"/>
  <c r="H16" i="4"/>
  <c r="H20" i="4"/>
  <c r="H50" i="4"/>
  <c r="H13" i="4"/>
  <c r="H19" i="4"/>
  <c r="H57" i="4"/>
  <c r="H58" i="4"/>
  <c r="H55" i="4"/>
  <c r="H33" i="4"/>
  <c r="H43" i="4"/>
  <c r="H53" i="4"/>
  <c r="H34" i="4"/>
  <c r="H40" i="4"/>
  <c r="H42" i="4"/>
  <c r="H61" i="4"/>
  <c r="H18" i="4"/>
  <c r="H28" i="4"/>
  <c r="H45" i="4"/>
  <c r="H25" i="4"/>
  <c r="H36" i="4"/>
  <c r="H14" i="4"/>
  <c r="H49" i="4"/>
  <c r="H15" i="4"/>
  <c r="H17" i="4"/>
  <c r="H29" i="4"/>
  <c r="H68" i="8"/>
  <c r="H47" i="8"/>
  <c r="F68" i="8"/>
  <c r="F61" i="8"/>
  <c r="H13" i="8"/>
  <c r="H52" i="6"/>
  <c r="H52" i="4"/>
  <c r="H32" i="4"/>
  <c r="H35" i="4"/>
  <c r="H39" i="4"/>
  <c r="H46" i="4"/>
  <c r="H69" i="4"/>
  <c r="H22" i="4"/>
  <c r="H47" i="4"/>
  <c r="H23" i="4"/>
  <c r="H30" i="4"/>
  <c r="H48" i="4"/>
  <c r="H51" i="4"/>
  <c r="H24" i="4"/>
  <c r="H27" i="4"/>
  <c r="H31" i="4"/>
  <c r="H38" i="4"/>
  <c r="H54" i="4"/>
  <c r="H21" i="4"/>
  <c r="H56" i="4"/>
  <c r="H44" i="4"/>
  <c r="F62" i="4"/>
  <c r="H79" i="4" s="1"/>
  <c r="H12" i="4"/>
  <c r="H51" i="6"/>
  <c r="H27" i="6"/>
  <c r="H35" i="6"/>
  <c r="H32" i="6"/>
  <c r="H50" i="6"/>
  <c r="H43" i="6"/>
  <c r="H31" i="6"/>
  <c r="H39" i="6"/>
  <c r="H12" i="6"/>
  <c r="H40" i="6"/>
  <c r="H25" i="6"/>
  <c r="H33" i="6"/>
  <c r="H41" i="6"/>
  <c r="H49" i="6"/>
  <c r="H58" i="6"/>
  <c r="H26" i="6"/>
  <c r="H42" i="6"/>
  <c r="H59" i="6"/>
  <c r="H18" i="6"/>
  <c r="H19" i="6"/>
  <c r="H15" i="6"/>
  <c r="F68" i="6"/>
  <c r="H60" i="6"/>
  <c r="H16" i="6"/>
  <c r="H24" i="6"/>
  <c r="H23" i="6"/>
  <c r="H47" i="6"/>
  <c r="H56" i="6"/>
  <c r="H34" i="6"/>
  <c r="H17" i="6"/>
  <c r="F61" i="6"/>
  <c r="H78" i="6" s="1"/>
  <c r="H30" i="6"/>
  <c r="H22" i="6"/>
  <c r="H46" i="6"/>
  <c r="H38" i="6"/>
  <c r="H20" i="6"/>
  <c r="H28" i="6"/>
  <c r="H36" i="6"/>
  <c r="H44" i="6"/>
  <c r="H53" i="6"/>
  <c r="H14" i="6"/>
  <c r="H55" i="6"/>
  <c r="H13" i="6"/>
  <c r="H21" i="6"/>
  <c r="H29" i="6"/>
  <c r="H37" i="6"/>
  <c r="H45" i="6"/>
  <c r="H54" i="6"/>
  <c r="H61" i="8" l="1"/>
  <c r="H70" i="8" s="1"/>
  <c r="H74" i="8" s="1"/>
  <c r="H76" i="8" s="1"/>
  <c r="F70" i="8"/>
  <c r="H78" i="8"/>
  <c r="H62" i="4"/>
  <c r="H71" i="4" s="1"/>
  <c r="H75" i="4" s="1"/>
  <c r="H77" i="4" s="1"/>
  <c r="H85" i="4" s="1"/>
  <c r="F71" i="4"/>
  <c r="F70" i="6"/>
  <c r="H6" i="6"/>
  <c r="H84" i="8" l="1"/>
  <c r="H86" i="8" s="1"/>
  <c r="H87" i="4"/>
  <c r="H68" i="6"/>
  <c r="H61" i="6"/>
  <c r="H70" i="6" l="1"/>
  <c r="H72" i="6"/>
  <c r="H74" i="6" l="1"/>
  <c r="H76" i="6" s="1"/>
  <c r="H84" i="6" s="1"/>
  <c r="H86" i="6" l="1"/>
</calcChain>
</file>

<file path=xl/sharedStrings.xml><?xml version="1.0" encoding="utf-8"?>
<sst xmlns="http://schemas.openxmlformats.org/spreadsheetml/2006/main" count="259" uniqueCount="85">
  <si>
    <t>Model:</t>
  </si>
  <si>
    <t>Customer:</t>
  </si>
  <si>
    <t>Qty</t>
  </si>
  <si>
    <t>Description</t>
  </si>
  <si>
    <t>Unit</t>
  </si>
  <si>
    <t>TOTAL LIST PRICE</t>
  </si>
  <si>
    <t>Price - USD</t>
  </si>
  <si>
    <t>Date:</t>
  </si>
  <si>
    <t>Mark Up by Percent</t>
  </si>
  <si>
    <t>Delivery Date:</t>
  </si>
  <si>
    <t>ITEM SUPPIELED BY US PROVIDERS</t>
  </si>
  <si>
    <t>Sub Total US Providers</t>
  </si>
  <si>
    <t>Sub Total of US Providers &amp; Euro Conversion</t>
  </si>
  <si>
    <t>SUBTOTAL NET PRICE</t>
  </si>
  <si>
    <t>Labor</t>
  </si>
  <si>
    <t>Stock Machine</t>
  </si>
  <si>
    <t>Electrical</t>
  </si>
  <si>
    <t>Vacuum Pump</t>
  </si>
  <si>
    <t>Bridge</t>
  </si>
  <si>
    <t>Y axis</t>
  </si>
  <si>
    <t>Z Axis</t>
  </si>
  <si>
    <t>OSAI</t>
  </si>
  <si>
    <t>12 Position Tool Magazine</t>
  </si>
  <si>
    <t>Fixture</t>
  </si>
  <si>
    <t>Basket</t>
  </si>
  <si>
    <t>Manual tool Setter</t>
  </si>
  <si>
    <t>Four Exit Aggregates</t>
  </si>
  <si>
    <t>Two Exit Aggregate</t>
  </si>
  <si>
    <t>Underneath Aggregate</t>
  </si>
  <si>
    <t>93 Degree Aggregate</t>
  </si>
  <si>
    <t>Control Pedestal</t>
  </si>
  <si>
    <t>Tool Holders</t>
  </si>
  <si>
    <t>Collets</t>
  </si>
  <si>
    <t>Wrench</t>
  </si>
  <si>
    <t>Tool Touch Off</t>
  </si>
  <si>
    <t>Vacuum Cup Placement Verification</t>
  </si>
  <si>
    <t>Rotating Reference Stops</t>
  </si>
  <si>
    <t>Scrap Conveyor</t>
  </si>
  <si>
    <t xml:space="preserve">Egaltech, Egt Doors Software Package </t>
  </si>
  <si>
    <t>Chip and Dust Enclosure Skirt</t>
  </si>
  <si>
    <t>8 Position Tool Magazine</t>
  </si>
  <si>
    <t>16 Position Tool Magazine</t>
  </si>
  <si>
    <t>4th Axis</t>
  </si>
  <si>
    <t>Boring Unit</t>
  </si>
  <si>
    <t>Mats Safety</t>
  </si>
  <si>
    <t>Fanuc</t>
  </si>
  <si>
    <t>Schmaltz Boom Crane Lift</t>
  </si>
  <si>
    <t>Vacuum Table with Four Zones</t>
  </si>
  <si>
    <t>Reference Stops</t>
  </si>
  <si>
    <t>Extra Drive</t>
  </si>
  <si>
    <t>24 Position Tool Magazine</t>
  </si>
  <si>
    <t>Chip Diversion &amp; Pans</t>
  </si>
  <si>
    <t>Upgrade Wiring Protection for Metal</t>
  </si>
  <si>
    <t>Laser Safety</t>
  </si>
  <si>
    <t>Two Exit Aggregate w/Saw</t>
  </si>
  <si>
    <t>Base - Double Length</t>
  </si>
  <si>
    <t xml:space="preserve">Base - Standard </t>
  </si>
  <si>
    <t>Metal Software Upgrade</t>
  </si>
  <si>
    <t>GROSS PROFIT -</t>
  </si>
  <si>
    <t xml:space="preserve">Spindle and Dust Collection                   </t>
  </si>
  <si>
    <t>Chisel Aggregate</t>
  </si>
  <si>
    <t>Inverter</t>
  </si>
  <si>
    <t>Chiller Unit</t>
  </si>
  <si>
    <t>Safety Fences</t>
  </si>
  <si>
    <t xml:space="preserve">Probe </t>
  </si>
  <si>
    <t xml:space="preserve">Extra Costs  Transformer Wiring I/O </t>
  </si>
  <si>
    <t>Mark-Up</t>
  </si>
  <si>
    <t>Unit Cost</t>
  </si>
  <si>
    <t>(U.S. $$)</t>
  </si>
  <si>
    <t xml:space="preserve">Total Cost </t>
  </si>
  <si>
    <t xml:space="preserve">Mark-Up Price </t>
  </si>
  <si>
    <t>Dealer Commission -</t>
  </si>
  <si>
    <t>Transportation -</t>
  </si>
  <si>
    <t>Insurance for Transport -</t>
  </si>
  <si>
    <t>Duty -</t>
  </si>
  <si>
    <t>Liability Insurance -</t>
  </si>
  <si>
    <t>Installation -</t>
  </si>
  <si>
    <t>Warranty -</t>
  </si>
  <si>
    <t>Subtotal -</t>
  </si>
  <si>
    <t>Tooling Package - Metal</t>
  </si>
  <si>
    <t>Tooling Package - Wood</t>
  </si>
  <si>
    <t>JJAS Single Wood Door Machine</t>
  </si>
  <si>
    <t>JJAS Single Metal Door Machine</t>
  </si>
  <si>
    <t>Four Exit Horizontal Drill Aggregate</t>
  </si>
  <si>
    <t>Walsh Door NE293.22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</si>
</sst>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d\-mmm\-yyyy"/>
    <numFmt numFmtId="166" formatCode="0.0000"/>
    <numFmt numFmtId="167" formatCode="_(&quot;$&quot;* #,##0_);_(&quot;$&quot;* \(#,##0\);_(&quot;$&quot;* &quot;-&quot;??_);_(@_)"/>
  </numFmts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33">
    <xf numFmtId="0" fontId="0" fillId="0" borderId="0" xfId="0"/>
    <xf numFmtId="0" fontId="0" fillId="0" borderId="18" xfId="0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0" xfId="0" applyFont="1"/>
    <xf numFmtId="2" fontId="1" fillId="0" borderId="0" xfId="0" applyNumberFormat="1" applyFont="1"/>
    <xf numFmtId="0" fontId="5" fillId="0" borderId="6" xfId="0" applyFont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2" fillId="0" borderId="6" xfId="0" applyFont="1" applyBorder="1" applyProtection="1">
      <protection locked="0"/>
    </xf>
    <xf numFmtId="4" fontId="0" fillId="0" borderId="18" xfId="0" applyNumberForma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44" fontId="0" fillId="0" borderId="1" xfId="1" applyFont="1" applyFill="1" applyBorder="1" applyProtection="1">
      <protection locked="0"/>
    </xf>
    <xf numFmtId="44" fontId="0" fillId="0" borderId="18" xfId="1" applyFont="1" applyFill="1" applyBorder="1" applyProtection="1">
      <protection locked="0"/>
    </xf>
    <xf numFmtId="0" fontId="0" fillId="0" borderId="0" xfId="0" applyAlignment="1" applyProtection="1">
      <alignment horizontal="right"/>
      <protection hidden="1"/>
    </xf>
    <xf numFmtId="0" fontId="0" fillId="0" borderId="2" xfId="0" applyBorder="1" applyProtection="1">
      <protection locked="0"/>
    </xf>
    <xf numFmtId="0" fontId="0" fillId="0" borderId="0" xfId="0" applyAlignment="1" applyProtection="1">
      <alignment horizontal="center"/>
      <protection hidden="1"/>
    </xf>
    <xf numFmtId="165" fontId="0" fillId="0" borderId="2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0" fontId="0" fillId="0" borderId="3" xfId="0" applyBorder="1" applyProtection="1">
      <protection locked="0"/>
    </xf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0" xfId="0" applyBorder="1" applyAlignment="1" applyProtection="1">
      <alignment horizontal="center"/>
      <protection locked="0"/>
    </xf>
    <xf numFmtId="0" fontId="2" fillId="0" borderId="18" xfId="0" applyFont="1" applyBorder="1" applyAlignment="1" applyProtection="1">
      <alignment wrapText="1"/>
      <protection locked="0"/>
    </xf>
    <xf numFmtId="44" fontId="0" fillId="0" borderId="4" xfId="1" applyFont="1" applyFill="1" applyBorder="1" applyProtection="1">
      <protection hidden="1"/>
    </xf>
    <xf numFmtId="0" fontId="0" fillId="0" borderId="18" xfId="0" applyBorder="1" applyAlignment="1" applyProtection="1">
      <alignment wrapText="1"/>
      <protection locked="0"/>
    </xf>
    <xf numFmtId="167" fontId="0" fillId="0" borderId="23" xfId="1" applyNumberFormat="1" applyFont="1" applyFill="1" applyBorder="1" applyAlignment="1" applyProtection="1">
      <protection locked="0"/>
    </xf>
    <xf numFmtId="167" fontId="0" fillId="0" borderId="24" xfId="1" applyNumberFormat="1" applyFont="1" applyFill="1" applyBorder="1" applyAlignment="1" applyProtection="1">
      <protection locked="0"/>
    </xf>
    <xf numFmtId="4" fontId="0" fillId="0" borderId="1" xfId="0" applyNumberFormat="1" applyBorder="1" applyAlignment="1" applyProtection="1">
      <alignment horizontal="center"/>
      <protection locked="0"/>
    </xf>
    <xf numFmtId="0" fontId="1" fillId="0" borderId="25" xfId="0" applyFont="1" applyBorder="1"/>
    <xf numFmtId="0" fontId="0" fillId="0" borderId="26" xfId="0" applyBorder="1"/>
    <xf numFmtId="0" fontId="5" fillId="0" borderId="8" xfId="0" applyFont="1" applyBorder="1" applyAlignment="1" applyProtection="1">
      <alignment horizontal="center"/>
      <protection locked="0"/>
    </xf>
    <xf numFmtId="44" fontId="1" fillId="0" borderId="22" xfId="1" applyFont="1" applyFill="1" applyBorder="1" applyAlignment="1" applyProtection="1">
      <protection hidden="1"/>
    </xf>
    <xf numFmtId="4" fontId="0" fillId="0" borderId="23" xfId="0" applyNumberFormat="1" applyBorder="1" applyAlignment="1" applyProtection="1">
      <alignment horizontal="center"/>
      <protection locked="0"/>
    </xf>
    <xf numFmtId="44" fontId="4" fillId="0" borderId="35" xfId="1" applyFont="1" applyFill="1" applyBorder="1" applyAlignment="1"/>
    <xf numFmtId="0" fontId="0" fillId="0" borderId="30" xfId="0" applyBorder="1"/>
    <xf numFmtId="0" fontId="0" fillId="0" borderId="1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2" xfId="0" applyBorder="1" applyProtection="1">
      <protection hidden="1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0" fillId="0" borderId="18" xfId="0" applyNumberForma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wrapText="1"/>
      <protection locked="0"/>
    </xf>
    <xf numFmtId="44" fontId="1" fillId="0" borderId="33" xfId="1" applyFont="1" applyFill="1" applyBorder="1" applyAlignment="1" applyProtection="1">
      <protection hidden="1"/>
    </xf>
    <xf numFmtId="44" fontId="1" fillId="0" borderId="36" xfId="1" applyFont="1" applyFill="1" applyBorder="1" applyAlignment="1" applyProtection="1">
      <alignment horizontal="center"/>
      <protection hidden="1"/>
    </xf>
    <xf numFmtId="44" fontId="4" fillId="0" borderId="29" xfId="1" applyFont="1" applyFill="1" applyBorder="1" applyAlignment="1"/>
    <xf numFmtId="44" fontId="0" fillId="0" borderId="39" xfId="1" applyFont="1" applyFill="1" applyBorder="1" applyProtection="1">
      <protection locked="0"/>
    </xf>
    <xf numFmtId="44" fontId="0" fillId="0" borderId="42" xfId="1" applyFont="1" applyFill="1" applyBorder="1" applyProtection="1">
      <protection locked="0"/>
    </xf>
    <xf numFmtId="44" fontId="0" fillId="0" borderId="1" xfId="1" applyFont="1" applyFill="1" applyBorder="1" applyAlignment="1" applyProtection="1">
      <alignment horizontal="center"/>
      <protection locked="0"/>
    </xf>
    <xf numFmtId="44" fontId="0" fillId="0" borderId="38" xfId="1" applyFont="1" applyFill="1" applyBorder="1" applyProtection="1">
      <protection hidden="1"/>
    </xf>
    <xf numFmtId="44" fontId="1" fillId="0" borderId="0" xfId="1" applyFont="1" applyFill="1" applyBorder="1" applyAlignment="1" applyProtection="1">
      <alignment horizontal="center"/>
      <protection hidden="1"/>
    </xf>
    <xf numFmtId="44" fontId="4" fillId="0" borderId="28" xfId="1" applyFont="1" applyFill="1" applyBorder="1" applyAlignment="1"/>
    <xf numFmtId="44" fontId="0" fillId="0" borderId="31" xfId="1" applyFont="1" applyFill="1" applyBorder="1" applyProtection="1">
      <protection locked="0"/>
    </xf>
    <xf numFmtId="44" fontId="0" fillId="0" borderId="18" xfId="1" applyFont="1" applyFill="1" applyBorder="1" applyAlignment="1" applyProtection="1">
      <alignment horizontal="center"/>
      <protection locked="0"/>
    </xf>
    <xf numFmtId="44" fontId="0" fillId="0" borderId="37" xfId="1" applyFont="1" applyFill="1" applyBorder="1" applyProtection="1">
      <protection hidden="1"/>
    </xf>
    <xf numFmtId="166" fontId="0" fillId="0" borderId="18" xfId="0" applyNumberFormat="1" applyBorder="1" applyAlignment="1" applyProtection="1">
      <alignment horizontal="center"/>
      <protection locked="0"/>
    </xf>
    <xf numFmtId="2" fontId="0" fillId="0" borderId="18" xfId="0" applyNumberFormat="1" applyBorder="1" applyProtection="1">
      <protection locked="0"/>
    </xf>
    <xf numFmtId="44" fontId="0" fillId="0" borderId="27" xfId="1" applyFont="1" applyFill="1" applyBorder="1" applyProtection="1">
      <protection hidden="1"/>
    </xf>
    <xf numFmtId="164" fontId="1" fillId="0" borderId="13" xfId="0" applyNumberFormat="1" applyFont="1" applyBorder="1" applyProtection="1">
      <protection hidden="1"/>
    </xf>
    <xf numFmtId="164" fontId="1" fillId="0" borderId="40" xfId="0" applyNumberFormat="1" applyFont="1" applyBorder="1" applyAlignment="1" applyProtection="1">
      <alignment horizontal="center"/>
      <protection hidden="1"/>
    </xf>
    <xf numFmtId="44" fontId="4" fillId="0" borderId="28" xfId="1" applyFont="1" applyFill="1" applyBorder="1" applyAlignment="1" applyProtection="1">
      <protection hidden="1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right"/>
    </xf>
    <xf numFmtId="164" fontId="0" fillId="0" borderId="21" xfId="0" applyNumberFormat="1" applyBorder="1"/>
    <xf numFmtId="164" fontId="0" fillId="0" borderId="2" xfId="0" applyNumberFormat="1" applyBorder="1"/>
    <xf numFmtId="164" fontId="0" fillId="0" borderId="3" xfId="0" applyNumberFormat="1" applyBorder="1" applyAlignment="1">
      <alignment horizontal="center"/>
    </xf>
    <xf numFmtId="164" fontId="1" fillId="0" borderId="12" xfId="0" applyNumberFormat="1" applyFont="1" applyBorder="1"/>
    <xf numFmtId="0" fontId="0" fillId="0" borderId="11" xfId="0" applyBorder="1"/>
    <xf numFmtId="0" fontId="1" fillId="0" borderId="0" xfId="0" applyFont="1" applyAlignment="1">
      <alignment horizontal="right"/>
    </xf>
    <xf numFmtId="0" fontId="0" fillId="0" borderId="16" xfId="0" applyBorder="1"/>
    <xf numFmtId="0" fontId="1" fillId="0" borderId="17" xfId="0" applyFont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3" fillId="0" borderId="16" xfId="0" applyFont="1" applyBorder="1"/>
    <xf numFmtId="0" fontId="3" fillId="0" borderId="17" xfId="0" applyFont="1" applyBorder="1"/>
    <xf numFmtId="0" fontId="4" fillId="0" borderId="17" xfId="0" applyFont="1" applyBorder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5" fillId="0" borderId="17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0" xfId="0" applyAlignment="1">
      <alignment vertical="center"/>
    </xf>
    <xf numFmtId="44" fontId="1" fillId="0" borderId="20" xfId="1" applyFont="1" applyFill="1" applyBorder="1" applyAlignment="1" applyProtection="1">
      <protection hidden="1"/>
    </xf>
    <xf numFmtId="164" fontId="1" fillId="0" borderId="1" xfId="0" applyNumberFormat="1" applyFont="1" applyBorder="1" applyProtection="1">
      <protection hidden="1"/>
    </xf>
    <xf numFmtId="166" fontId="0" fillId="0" borderId="3" xfId="0" applyNumberFormat="1" applyBorder="1" applyProtection="1">
      <protection locked="0"/>
    </xf>
    <xf numFmtId="44" fontId="0" fillId="0" borderId="43" xfId="1" applyFont="1" applyFill="1" applyBorder="1" applyProtection="1">
      <protection locked="0"/>
    </xf>
    <xf numFmtId="2" fontId="0" fillId="0" borderId="44" xfId="0" applyNumberFormat="1" applyBorder="1" applyProtection="1">
      <protection locked="0"/>
    </xf>
    <xf numFmtId="2" fontId="7" fillId="2" borderId="33" xfId="0" applyNumberFormat="1" applyFont="1" applyFill="1" applyBorder="1" applyAlignment="1" applyProtection="1">
      <alignment horizontal="center"/>
      <protection locked="0"/>
    </xf>
    <xf numFmtId="44" fontId="0" fillId="0" borderId="19" xfId="0" applyNumberFormat="1" applyBorder="1" applyProtection="1">
      <protection locked="0"/>
    </xf>
    <xf numFmtId="164" fontId="4" fillId="0" borderId="28" xfId="1" applyNumberFormat="1" applyFont="1" applyFill="1" applyBorder="1" applyAlignment="1"/>
    <xf numFmtId="44" fontId="0" fillId="0" borderId="18" xfId="1" applyFont="1" applyFill="1" applyBorder="1" applyAlignment="1"/>
    <xf numFmtId="44" fontId="0" fillId="0" borderId="19" xfId="1" applyFont="1" applyFill="1" applyBorder="1" applyAlignment="1" applyProtection="1">
      <protection locked="0"/>
    </xf>
    <xf numFmtId="44" fontId="0" fillId="0" borderId="18" xfId="1" applyFont="1" applyFill="1" applyBorder="1" applyAlignment="1" applyProtection="1">
      <protection locked="0"/>
    </xf>
    <xf numFmtId="0" fontId="0" fillId="0" borderId="27" xfId="0" applyBorder="1"/>
    <xf numFmtId="44" fontId="0" fillId="0" borderId="38" xfId="1" applyFont="1" applyFill="1" applyBorder="1"/>
    <xf numFmtId="44" fontId="0" fillId="0" borderId="4" xfId="1" applyFont="1" applyFill="1" applyBorder="1" applyAlignment="1" applyProtection="1">
      <protection locked="0"/>
    </xf>
    <xf numFmtId="0" fontId="2" fillId="0" borderId="2" xfId="0" applyFont="1" applyBorder="1" applyProtection="1">
      <protection locked="0"/>
    </xf>
    <xf numFmtId="4" fontId="2" fillId="0" borderId="18" xfId="0" applyNumberFormat="1" applyFont="1" applyBorder="1" applyAlignment="1" applyProtection="1">
      <alignment horizontal="center"/>
      <protection locked="0"/>
    </xf>
    <xf numFmtId="0" fontId="0" fillId="0" borderId="23" xfId="0" applyBorder="1" applyAlignment="1">
      <alignment horizontal="center"/>
    </xf>
    <xf numFmtId="0" fontId="0" fillId="0" borderId="41" xfId="0" applyBorder="1" applyAlignment="1">
      <alignment horizontal="center"/>
    </xf>
    <xf numFmtId="164" fontId="1" fillId="0" borderId="18" xfId="0" applyNumberFormat="1" applyFont="1" applyBorder="1" applyAlignment="1" applyProtection="1">
      <alignment horizontal="right"/>
      <protection locked="0"/>
    </xf>
    <xf numFmtId="164" fontId="1" fillId="0" borderId="3" xfId="0" applyNumberFormat="1" applyFont="1" applyBorder="1" applyAlignment="1" applyProtection="1">
      <alignment horizontal="right"/>
      <protection locked="0"/>
    </xf>
    <xf numFmtId="164" fontId="1" fillId="0" borderId="6" xfId="0" applyNumberFormat="1" applyFont="1" applyBorder="1" applyAlignment="1" applyProtection="1">
      <alignment horizontal="right"/>
      <protection locked="0"/>
    </xf>
    <xf numFmtId="164" fontId="4" fillId="0" borderId="16" xfId="0" applyNumberFormat="1" applyFont="1" applyBorder="1" applyAlignment="1">
      <alignment horizontal="right"/>
    </xf>
    <xf numFmtId="164" fontId="4" fillId="0" borderId="17" xfId="0" applyNumberFormat="1" applyFont="1" applyBorder="1" applyAlignment="1">
      <alignment horizontal="right"/>
    </xf>
    <xf numFmtId="164" fontId="4" fillId="0" borderId="46" xfId="0" applyNumberFormat="1" applyFont="1" applyBorder="1" applyAlignment="1">
      <alignment horizontal="right"/>
    </xf>
    <xf numFmtId="0" fontId="0" fillId="0" borderId="45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0" fillId="0" borderId="0" xfId="0"/>
    <xf numFmtId="164" fontId="1" fillId="0" borderId="18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8" xfId="0" applyBorder="1" applyAlignment="1" applyProtection="1">
      <alignment wrapText="1"/>
      <protection locked="0"/>
    </xf>
    <xf numFmtId="0" fontId="0" fillId="0" borderId="6" xfId="0" applyBorder="1" applyAlignment="1" applyProtection="1">
      <alignment wrapText="1"/>
      <protection locked="0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8" xfId="0" applyFont="1" applyBorder="1" applyAlignment="1" applyProtection="1">
      <alignment wrapText="1"/>
      <protection locked="0"/>
    </xf>
    <xf numFmtId="0" fontId="1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114300</xdr:rowOff>
    </xdr:from>
    <xdr:to>
      <xdr:col>2</xdr:col>
      <xdr:colOff>2550135</xdr:colOff>
      <xdr:row>4</xdr:row>
      <xdr:rowOff>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8EADC-5592-4DD8-B02E-5884367C2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14300"/>
          <a:ext cx="2950185" cy="5336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114300</xdr:rowOff>
    </xdr:from>
    <xdr:to>
      <xdr:col>2</xdr:col>
      <xdr:colOff>2550135</xdr:colOff>
      <xdr:row>3</xdr:row>
      <xdr:rowOff>124113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FDDAC8-A548-4351-B00A-0DEC263E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14300"/>
          <a:ext cx="2950185" cy="5336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114300</xdr:rowOff>
    </xdr:from>
    <xdr:to>
      <xdr:col>2</xdr:col>
      <xdr:colOff>2454885</xdr:colOff>
      <xdr:row>3</xdr:row>
      <xdr:rowOff>124113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EF56E6-81A0-45C2-B8D3-E28B5D427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14300"/>
          <a:ext cx="2950185" cy="495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I110"/>
  <sheetViews>
    <sheetView topLeftCell="A55" workbookViewId="0">
      <selection activeCell="E73" sqref="E73"/>
    </sheetView>
  </sheetViews>
  <sheetFormatPr defaultColWidth="8.83203125" defaultRowHeight="12.3" x14ac:dyDescent="0.4"/>
  <cols>
    <col min="1" max="1" width="3" customWidth="1"/>
    <col min="2" max="2" width="7.83203125" customWidth="1"/>
    <col min="3" max="3" width="51.1640625" customWidth="1"/>
    <col min="4" max="4" width="5.1640625" customWidth="1"/>
    <col min="5" max="5" width="14.71875" customWidth="1"/>
    <col min="6" max="6" width="17.1640625" customWidth="1"/>
    <col min="7" max="7" width="8.71875" style="10" customWidth="1"/>
    <col min="8" max="8" width="17.27734375" customWidth="1"/>
  </cols>
  <sheetData>
    <row r="2" spans="2:8" x14ac:dyDescent="0.4">
      <c r="D2" s="3"/>
      <c r="E2" s="3"/>
      <c r="F2" s="3"/>
      <c r="G2" s="9"/>
    </row>
    <row r="4" spans="2:8" x14ac:dyDescent="0.4">
      <c r="D4" s="3"/>
      <c r="E4" s="4"/>
      <c r="F4" s="4"/>
      <c r="G4" s="11"/>
    </row>
    <row r="6" spans="2:8" x14ac:dyDescent="0.4">
      <c r="B6" s="14" t="s">
        <v>0</v>
      </c>
      <c r="C6" s="103" t="s">
        <v>81</v>
      </c>
      <c r="E6" s="14" t="s">
        <v>7</v>
      </c>
      <c r="F6" s="14"/>
      <c r="G6" s="16"/>
      <c r="H6" s="17">
        <f ca="1">TODAY()</f>
        <v>45288</v>
      </c>
    </row>
    <row r="7" spans="2:8" x14ac:dyDescent="0.4">
      <c r="B7" s="14"/>
      <c r="C7" s="18"/>
      <c r="E7" s="14"/>
      <c r="F7" s="14"/>
      <c r="G7" s="16"/>
      <c r="H7" s="18"/>
    </row>
    <row r="8" spans="2:8" x14ac:dyDescent="0.4">
      <c r="B8" s="14" t="s">
        <v>1</v>
      </c>
      <c r="C8" s="15" t="s">
        <v>15</v>
      </c>
      <c r="E8" s="14" t="s">
        <v>9</v>
      </c>
      <c r="F8" s="14"/>
      <c r="G8" s="16"/>
      <c r="H8" s="17"/>
    </row>
    <row r="9" spans="2:8" x14ac:dyDescent="0.4">
      <c r="B9" s="19"/>
      <c r="C9" s="20"/>
      <c r="E9" s="14"/>
      <c r="F9" s="14"/>
      <c r="G9" s="16"/>
    </row>
    <row r="10" spans="2:8" ht="12.6" thickBot="1" x14ac:dyDescent="0.45">
      <c r="B10" s="19"/>
      <c r="E10" s="82" t="s">
        <v>68</v>
      </c>
      <c r="F10" s="82" t="s">
        <v>68</v>
      </c>
      <c r="G10" s="21"/>
      <c r="H10" s="83" t="s">
        <v>68</v>
      </c>
    </row>
    <row r="11" spans="2:8" s="88" customFormat="1" ht="25.15" customHeight="1" x14ac:dyDescent="0.4">
      <c r="B11" s="84" t="s">
        <v>2</v>
      </c>
      <c r="C11" s="131" t="s">
        <v>3</v>
      </c>
      <c r="D11" s="132"/>
      <c r="E11" s="85" t="s">
        <v>67</v>
      </c>
      <c r="F11" s="85" t="s">
        <v>69</v>
      </c>
      <c r="G11" s="86" t="s">
        <v>66</v>
      </c>
      <c r="H11" s="87" t="s">
        <v>70</v>
      </c>
    </row>
    <row r="12" spans="2:8" ht="12.75" customHeight="1" x14ac:dyDescent="0.4">
      <c r="B12" s="23">
        <v>1</v>
      </c>
      <c r="C12" s="24" t="s">
        <v>59</v>
      </c>
      <c r="D12" s="5"/>
      <c r="E12" s="12">
        <v>9200</v>
      </c>
      <c r="F12" s="13">
        <f>B12*E12</f>
        <v>9200</v>
      </c>
      <c r="G12" s="8">
        <f>E72</f>
        <v>1.6</v>
      </c>
      <c r="H12" s="25">
        <f>F12*G12</f>
        <v>14720</v>
      </c>
    </row>
    <row r="13" spans="2:8" x14ac:dyDescent="0.4">
      <c r="B13" s="23">
        <v>1</v>
      </c>
      <c r="C13" s="24" t="s">
        <v>42</v>
      </c>
      <c r="D13" s="5"/>
      <c r="E13" s="12">
        <v>3625</v>
      </c>
      <c r="F13" s="13">
        <f t="shared" ref="F13:F60" si="0">B13*E13</f>
        <v>3625</v>
      </c>
      <c r="G13" s="8">
        <f>E72</f>
        <v>1.6</v>
      </c>
      <c r="H13" s="25">
        <f t="shared" ref="H13:H60" si="1">F13*G13</f>
        <v>5800</v>
      </c>
    </row>
    <row r="14" spans="2:8" x14ac:dyDescent="0.4">
      <c r="B14" s="23"/>
      <c r="C14" s="24" t="s">
        <v>65</v>
      </c>
      <c r="D14" s="5"/>
      <c r="E14" s="12">
        <v>1788</v>
      </c>
      <c r="F14" s="13">
        <f t="shared" si="0"/>
        <v>0</v>
      </c>
      <c r="G14" s="8">
        <f>E72</f>
        <v>1.6</v>
      </c>
      <c r="H14" s="25">
        <f t="shared" si="1"/>
        <v>0</v>
      </c>
    </row>
    <row r="15" spans="2:8" x14ac:dyDescent="0.4">
      <c r="B15" s="23"/>
      <c r="C15" s="24" t="s">
        <v>61</v>
      </c>
      <c r="D15" s="5"/>
      <c r="E15" s="12">
        <v>3500</v>
      </c>
      <c r="F15" s="13">
        <f t="shared" si="0"/>
        <v>0</v>
      </c>
      <c r="G15" s="8">
        <f>E72</f>
        <v>1.6</v>
      </c>
      <c r="H15" s="25">
        <f t="shared" si="1"/>
        <v>0</v>
      </c>
    </row>
    <row r="16" spans="2:8" x14ac:dyDescent="0.4">
      <c r="B16" s="23"/>
      <c r="C16" s="24" t="s">
        <v>62</v>
      </c>
      <c r="D16" s="5"/>
      <c r="E16" s="12">
        <v>2200</v>
      </c>
      <c r="F16" s="13">
        <f t="shared" si="0"/>
        <v>0</v>
      </c>
      <c r="G16" s="8">
        <f>E72</f>
        <v>1.6</v>
      </c>
      <c r="H16" s="25">
        <f t="shared" si="1"/>
        <v>0</v>
      </c>
    </row>
    <row r="17" spans="2:8" x14ac:dyDescent="0.4">
      <c r="B17" s="23">
        <v>1</v>
      </c>
      <c r="C17" s="26" t="s">
        <v>16</v>
      </c>
      <c r="D17" s="5"/>
      <c r="E17" s="12">
        <v>7000</v>
      </c>
      <c r="F17" s="13">
        <f t="shared" si="0"/>
        <v>7000</v>
      </c>
      <c r="G17" s="8">
        <f>E72</f>
        <v>1.6</v>
      </c>
      <c r="H17" s="25">
        <f t="shared" si="1"/>
        <v>11200</v>
      </c>
    </row>
    <row r="18" spans="2:8" x14ac:dyDescent="0.4">
      <c r="B18" s="23">
        <v>1</v>
      </c>
      <c r="C18" s="2" t="s">
        <v>56</v>
      </c>
      <c r="D18" s="6"/>
      <c r="E18" s="12">
        <v>23100</v>
      </c>
      <c r="F18" s="13">
        <f t="shared" si="0"/>
        <v>23100</v>
      </c>
      <c r="G18" s="8">
        <f>E72</f>
        <v>1.6</v>
      </c>
      <c r="H18" s="25">
        <f t="shared" si="1"/>
        <v>36960</v>
      </c>
    </row>
    <row r="19" spans="2:8" x14ac:dyDescent="0.4">
      <c r="B19" s="23"/>
      <c r="C19" s="2" t="s">
        <v>55</v>
      </c>
      <c r="D19" s="6"/>
      <c r="E19" s="12">
        <v>51000</v>
      </c>
      <c r="F19" s="13">
        <f t="shared" si="0"/>
        <v>0</v>
      </c>
      <c r="G19" s="8">
        <f>E72</f>
        <v>1.6</v>
      </c>
      <c r="H19" s="25">
        <f t="shared" si="1"/>
        <v>0</v>
      </c>
    </row>
    <row r="20" spans="2:8" x14ac:dyDescent="0.4">
      <c r="B20" s="23">
        <v>1</v>
      </c>
      <c r="C20" s="1" t="s">
        <v>30</v>
      </c>
      <c r="D20" s="6"/>
      <c r="E20" s="12">
        <v>1318</v>
      </c>
      <c r="F20" s="13">
        <f t="shared" si="0"/>
        <v>1318</v>
      </c>
      <c r="G20" s="8">
        <f>E72</f>
        <v>1.6</v>
      </c>
      <c r="H20" s="25">
        <f t="shared" si="1"/>
        <v>2108.8000000000002</v>
      </c>
    </row>
    <row r="21" spans="2:8" x14ac:dyDescent="0.4">
      <c r="B21" s="23">
        <v>1</v>
      </c>
      <c r="C21" s="1" t="s">
        <v>17</v>
      </c>
      <c r="D21" s="5"/>
      <c r="E21" s="12">
        <v>7000</v>
      </c>
      <c r="F21" s="13">
        <f t="shared" si="0"/>
        <v>7000</v>
      </c>
      <c r="G21" s="8">
        <f>E72</f>
        <v>1.6</v>
      </c>
      <c r="H21" s="25">
        <f t="shared" si="1"/>
        <v>11200</v>
      </c>
    </row>
    <row r="22" spans="2:8" x14ac:dyDescent="0.4">
      <c r="B22" s="23">
        <v>1</v>
      </c>
      <c r="C22" s="1" t="s">
        <v>18</v>
      </c>
      <c r="D22" s="5"/>
      <c r="E22" s="12">
        <v>18000</v>
      </c>
      <c r="F22" s="13">
        <f t="shared" si="0"/>
        <v>18000</v>
      </c>
      <c r="G22" s="8">
        <f>E72</f>
        <v>1.6</v>
      </c>
      <c r="H22" s="25">
        <f t="shared" si="1"/>
        <v>28800</v>
      </c>
    </row>
    <row r="23" spans="2:8" x14ac:dyDescent="0.4">
      <c r="B23" s="23">
        <v>1</v>
      </c>
      <c r="C23" s="1" t="s">
        <v>24</v>
      </c>
      <c r="D23" s="6"/>
      <c r="E23" s="12">
        <v>1800</v>
      </c>
      <c r="F23" s="13">
        <f t="shared" si="0"/>
        <v>1800</v>
      </c>
      <c r="G23" s="8">
        <f>E72</f>
        <v>1.6</v>
      </c>
      <c r="H23" s="25">
        <f t="shared" si="1"/>
        <v>2880</v>
      </c>
    </row>
    <row r="24" spans="2:8" x14ac:dyDescent="0.4">
      <c r="B24" s="23">
        <v>1</v>
      </c>
      <c r="C24" s="1" t="s">
        <v>19</v>
      </c>
      <c r="D24" s="5"/>
      <c r="E24" s="12">
        <v>6043</v>
      </c>
      <c r="F24" s="13">
        <f t="shared" si="0"/>
        <v>6043</v>
      </c>
      <c r="G24" s="8">
        <f>E72</f>
        <v>1.6</v>
      </c>
      <c r="H24" s="25">
        <f t="shared" si="1"/>
        <v>9668.8000000000011</v>
      </c>
    </row>
    <row r="25" spans="2:8" x14ac:dyDescent="0.4">
      <c r="B25" s="23">
        <v>1</v>
      </c>
      <c r="C25" s="1" t="s">
        <v>20</v>
      </c>
      <c r="D25" s="5"/>
      <c r="E25" s="12">
        <v>2000</v>
      </c>
      <c r="F25" s="13">
        <f t="shared" si="0"/>
        <v>2000</v>
      </c>
      <c r="G25" s="8">
        <f>E72</f>
        <v>1.6</v>
      </c>
      <c r="H25" s="25">
        <f t="shared" si="1"/>
        <v>3200</v>
      </c>
    </row>
    <row r="26" spans="2:8" x14ac:dyDescent="0.4">
      <c r="B26" s="23">
        <v>1</v>
      </c>
      <c r="C26" s="1" t="s">
        <v>21</v>
      </c>
      <c r="D26" s="6"/>
      <c r="E26" s="12">
        <v>27500</v>
      </c>
      <c r="F26" s="13">
        <f t="shared" si="0"/>
        <v>27500</v>
      </c>
      <c r="G26" s="8">
        <f>E72</f>
        <v>1.6</v>
      </c>
      <c r="H26" s="25">
        <f t="shared" si="1"/>
        <v>44000</v>
      </c>
    </row>
    <row r="27" spans="2:8" x14ac:dyDescent="0.4">
      <c r="B27" s="23"/>
      <c r="C27" s="1" t="s">
        <v>49</v>
      </c>
      <c r="D27" s="6"/>
      <c r="E27" s="12">
        <v>3000</v>
      </c>
      <c r="F27" s="13">
        <f t="shared" si="0"/>
        <v>0</v>
      </c>
      <c r="G27" s="8">
        <f>E72</f>
        <v>1.6</v>
      </c>
      <c r="H27" s="25">
        <f t="shared" si="1"/>
        <v>0</v>
      </c>
    </row>
    <row r="28" spans="2:8" x14ac:dyDescent="0.4">
      <c r="B28" s="23"/>
      <c r="C28" s="2" t="s">
        <v>45</v>
      </c>
      <c r="D28" s="7"/>
      <c r="E28" s="12">
        <v>15750</v>
      </c>
      <c r="F28" s="13">
        <f t="shared" si="0"/>
        <v>0</v>
      </c>
      <c r="G28" s="8">
        <f>E72</f>
        <v>1.6</v>
      </c>
      <c r="H28" s="25">
        <f t="shared" si="1"/>
        <v>0</v>
      </c>
    </row>
    <row r="29" spans="2:8" x14ac:dyDescent="0.4">
      <c r="B29" s="23">
        <v>1</v>
      </c>
      <c r="C29" s="1" t="s">
        <v>23</v>
      </c>
      <c r="D29" s="5"/>
      <c r="E29" s="12">
        <v>17500</v>
      </c>
      <c r="F29" s="13">
        <f t="shared" si="0"/>
        <v>17500</v>
      </c>
      <c r="G29" s="8">
        <f>E72</f>
        <v>1.6</v>
      </c>
      <c r="H29" s="25">
        <f t="shared" si="1"/>
        <v>28000</v>
      </c>
    </row>
    <row r="30" spans="2:8" x14ac:dyDescent="0.4">
      <c r="B30" s="23"/>
      <c r="C30" s="2" t="s">
        <v>47</v>
      </c>
      <c r="D30" s="7"/>
      <c r="E30" s="12">
        <v>4200</v>
      </c>
      <c r="F30" s="13">
        <f t="shared" si="0"/>
        <v>0</v>
      </c>
      <c r="G30" s="8">
        <f>E72</f>
        <v>1.6</v>
      </c>
      <c r="H30" s="25">
        <f t="shared" si="1"/>
        <v>0</v>
      </c>
    </row>
    <row r="31" spans="2:8" x14ac:dyDescent="0.4">
      <c r="B31" s="23">
        <v>1</v>
      </c>
      <c r="C31" s="1" t="s">
        <v>43</v>
      </c>
      <c r="D31" s="6"/>
      <c r="E31" s="12">
        <v>3500</v>
      </c>
      <c r="F31" s="13">
        <f t="shared" si="0"/>
        <v>3500</v>
      </c>
      <c r="G31" s="8">
        <f>E72</f>
        <v>1.6</v>
      </c>
      <c r="H31" s="25">
        <f t="shared" si="1"/>
        <v>5600</v>
      </c>
    </row>
    <row r="32" spans="2:8" x14ac:dyDescent="0.4">
      <c r="B32" s="23"/>
      <c r="C32" s="2" t="s">
        <v>40</v>
      </c>
      <c r="D32" s="7"/>
      <c r="E32" s="12">
        <v>3480</v>
      </c>
      <c r="F32" s="13">
        <f t="shared" si="0"/>
        <v>0</v>
      </c>
      <c r="G32" s="8">
        <f>E72</f>
        <v>1.6</v>
      </c>
      <c r="H32" s="25">
        <f t="shared" si="1"/>
        <v>0</v>
      </c>
    </row>
    <row r="33" spans="2:8" x14ac:dyDescent="0.4">
      <c r="B33" s="23">
        <v>1</v>
      </c>
      <c r="C33" s="1" t="s">
        <v>22</v>
      </c>
      <c r="D33" s="5"/>
      <c r="E33" s="12">
        <v>7300</v>
      </c>
      <c r="F33" s="13">
        <f t="shared" si="0"/>
        <v>7300</v>
      </c>
      <c r="G33" s="8">
        <f>E72</f>
        <v>1.6</v>
      </c>
      <c r="H33" s="25">
        <f t="shared" si="1"/>
        <v>11680</v>
      </c>
    </row>
    <row r="34" spans="2:8" x14ac:dyDescent="0.4">
      <c r="B34" s="23"/>
      <c r="C34" s="2" t="s">
        <v>41</v>
      </c>
      <c r="D34" s="5"/>
      <c r="E34" s="12">
        <v>8000</v>
      </c>
      <c r="F34" s="13">
        <f t="shared" si="0"/>
        <v>0</v>
      </c>
      <c r="G34" s="8">
        <f>E72</f>
        <v>1.6</v>
      </c>
      <c r="H34" s="25">
        <f t="shared" si="1"/>
        <v>0</v>
      </c>
    </row>
    <row r="35" spans="2:8" x14ac:dyDescent="0.4">
      <c r="B35" s="23"/>
      <c r="C35" s="2" t="s">
        <v>50</v>
      </c>
      <c r="D35" s="6"/>
      <c r="E35" s="12">
        <v>8415</v>
      </c>
      <c r="F35" s="13">
        <f t="shared" si="0"/>
        <v>0</v>
      </c>
      <c r="G35" s="8">
        <f>E72</f>
        <v>1.6</v>
      </c>
      <c r="H35" s="25">
        <f t="shared" si="1"/>
        <v>0</v>
      </c>
    </row>
    <row r="36" spans="2:8" x14ac:dyDescent="0.4">
      <c r="B36" s="23"/>
      <c r="C36" s="1" t="s">
        <v>34</v>
      </c>
      <c r="D36" s="6"/>
      <c r="E36" s="12">
        <v>2065</v>
      </c>
      <c r="F36" s="13">
        <f t="shared" si="0"/>
        <v>0</v>
      </c>
      <c r="G36" s="8">
        <f>E72</f>
        <v>1.6</v>
      </c>
      <c r="H36" s="25">
        <f t="shared" si="1"/>
        <v>0</v>
      </c>
    </row>
    <row r="37" spans="2:8" x14ac:dyDescent="0.4">
      <c r="B37" s="23"/>
      <c r="C37" s="2" t="s">
        <v>35</v>
      </c>
      <c r="D37" s="6"/>
      <c r="E37" s="12"/>
      <c r="F37" s="13">
        <f t="shared" si="0"/>
        <v>0</v>
      </c>
      <c r="G37" s="8">
        <f>E72</f>
        <v>1.6</v>
      </c>
      <c r="H37" s="25">
        <f t="shared" si="1"/>
        <v>0</v>
      </c>
    </row>
    <row r="38" spans="2:8" x14ac:dyDescent="0.4">
      <c r="B38" s="23"/>
      <c r="C38" s="2" t="s">
        <v>64</v>
      </c>
      <c r="D38" s="6"/>
      <c r="E38" s="12">
        <v>2400</v>
      </c>
      <c r="F38" s="13">
        <f t="shared" si="0"/>
        <v>0</v>
      </c>
      <c r="G38" s="8">
        <f>E72</f>
        <v>1.6</v>
      </c>
      <c r="H38" s="25">
        <f t="shared" si="1"/>
        <v>0</v>
      </c>
    </row>
    <row r="39" spans="2:8" x14ac:dyDescent="0.4">
      <c r="B39" s="23"/>
      <c r="C39" s="2" t="s">
        <v>46</v>
      </c>
      <c r="D39" s="6"/>
      <c r="E39" s="12">
        <v>29750</v>
      </c>
      <c r="F39" s="13">
        <f t="shared" si="0"/>
        <v>0</v>
      </c>
      <c r="G39" s="8">
        <f>E72</f>
        <v>1.6</v>
      </c>
      <c r="H39" s="25">
        <f t="shared" si="1"/>
        <v>0</v>
      </c>
    </row>
    <row r="40" spans="2:8" x14ac:dyDescent="0.4">
      <c r="B40" s="23"/>
      <c r="C40" s="2" t="s">
        <v>36</v>
      </c>
      <c r="D40" s="6"/>
      <c r="E40" s="12">
        <v>3500</v>
      </c>
      <c r="F40" s="13">
        <f t="shared" si="0"/>
        <v>0</v>
      </c>
      <c r="G40" s="8">
        <f>E72</f>
        <v>1.6</v>
      </c>
      <c r="H40" s="25">
        <f t="shared" si="1"/>
        <v>0</v>
      </c>
    </row>
    <row r="41" spans="2:8" x14ac:dyDescent="0.4">
      <c r="B41" s="23"/>
      <c r="C41" s="2" t="s">
        <v>37</v>
      </c>
      <c r="D41" s="6"/>
      <c r="E41" s="12">
        <v>7200</v>
      </c>
      <c r="F41" s="13">
        <f t="shared" si="0"/>
        <v>0</v>
      </c>
      <c r="G41" s="8">
        <f>E72</f>
        <v>1.6</v>
      </c>
      <c r="H41" s="25">
        <f t="shared" si="1"/>
        <v>0</v>
      </c>
    </row>
    <row r="42" spans="2:8" x14ac:dyDescent="0.4">
      <c r="B42" s="23"/>
      <c r="C42" s="2" t="s">
        <v>39</v>
      </c>
      <c r="D42" s="6"/>
      <c r="E42" s="12">
        <v>1300</v>
      </c>
      <c r="F42" s="13">
        <f t="shared" si="0"/>
        <v>0</v>
      </c>
      <c r="G42" s="8">
        <f>E72</f>
        <v>1.6</v>
      </c>
      <c r="H42" s="25">
        <f t="shared" si="1"/>
        <v>0</v>
      </c>
    </row>
    <row r="43" spans="2:8" x14ac:dyDescent="0.4">
      <c r="B43" s="23"/>
      <c r="C43" s="2" t="s">
        <v>51</v>
      </c>
      <c r="D43" s="6"/>
      <c r="E43" s="12">
        <v>1500</v>
      </c>
      <c r="F43" s="13">
        <f t="shared" si="0"/>
        <v>0</v>
      </c>
      <c r="G43" s="8">
        <f>E72</f>
        <v>1.6</v>
      </c>
      <c r="H43" s="25">
        <f t="shared" si="1"/>
        <v>0</v>
      </c>
    </row>
    <row r="44" spans="2:8" x14ac:dyDescent="0.4">
      <c r="B44" s="23"/>
      <c r="C44" s="2" t="s">
        <v>52</v>
      </c>
      <c r="D44" s="6"/>
      <c r="E44" s="12">
        <v>500</v>
      </c>
      <c r="F44" s="13">
        <f t="shared" si="0"/>
        <v>0</v>
      </c>
      <c r="G44" s="8">
        <f>E72</f>
        <v>1.6</v>
      </c>
      <c r="H44" s="25">
        <f t="shared" si="1"/>
        <v>0</v>
      </c>
    </row>
    <row r="45" spans="2:8" x14ac:dyDescent="0.4">
      <c r="B45" s="23">
        <v>1</v>
      </c>
      <c r="C45" s="2" t="s">
        <v>53</v>
      </c>
      <c r="D45" s="7"/>
      <c r="E45" s="12">
        <v>4000</v>
      </c>
      <c r="F45" s="13">
        <f t="shared" si="0"/>
        <v>4000</v>
      </c>
      <c r="G45" s="8">
        <f>E72</f>
        <v>1.6</v>
      </c>
      <c r="H45" s="25">
        <f t="shared" si="1"/>
        <v>6400</v>
      </c>
    </row>
    <row r="46" spans="2:8" x14ac:dyDescent="0.4">
      <c r="B46" s="23"/>
      <c r="C46" s="1" t="s">
        <v>44</v>
      </c>
      <c r="D46" s="6"/>
      <c r="E46" s="12">
        <v>1915</v>
      </c>
      <c r="F46" s="13">
        <f t="shared" si="0"/>
        <v>0</v>
      </c>
      <c r="G46" s="8">
        <f>E72</f>
        <v>1.6</v>
      </c>
      <c r="H46" s="25">
        <f t="shared" si="1"/>
        <v>0</v>
      </c>
    </row>
    <row r="47" spans="2:8" x14ac:dyDescent="0.4">
      <c r="B47" s="23">
        <v>12</v>
      </c>
      <c r="C47" s="1" t="s">
        <v>31</v>
      </c>
      <c r="D47" s="6"/>
      <c r="E47" s="12">
        <v>86</v>
      </c>
      <c r="F47" s="13">
        <f t="shared" si="0"/>
        <v>1032</v>
      </c>
      <c r="G47" s="8">
        <f>E72</f>
        <v>1.6</v>
      </c>
      <c r="H47" s="25">
        <f t="shared" si="1"/>
        <v>1651.2</v>
      </c>
    </row>
    <row r="48" spans="2:8" x14ac:dyDescent="0.4">
      <c r="B48" s="23">
        <v>12</v>
      </c>
      <c r="C48" s="1" t="s">
        <v>32</v>
      </c>
      <c r="D48" s="6"/>
      <c r="E48" s="12">
        <v>21.5</v>
      </c>
      <c r="F48" s="13">
        <f t="shared" si="0"/>
        <v>258</v>
      </c>
      <c r="G48" s="8">
        <f>E72</f>
        <v>1.6</v>
      </c>
      <c r="H48" s="25">
        <f t="shared" si="1"/>
        <v>412.8</v>
      </c>
    </row>
    <row r="49" spans="2:9" x14ac:dyDescent="0.4">
      <c r="B49" s="23">
        <v>1</v>
      </c>
      <c r="C49" s="1" t="s">
        <v>33</v>
      </c>
      <c r="D49" s="6"/>
      <c r="E49" s="12">
        <v>50</v>
      </c>
      <c r="F49" s="13">
        <f t="shared" si="0"/>
        <v>50</v>
      </c>
      <c r="G49" s="8">
        <f>E72</f>
        <v>1.6</v>
      </c>
      <c r="H49" s="25">
        <f t="shared" si="1"/>
        <v>80</v>
      </c>
    </row>
    <row r="50" spans="2:9" x14ac:dyDescent="0.4">
      <c r="B50" s="23"/>
      <c r="C50" s="2" t="s">
        <v>79</v>
      </c>
      <c r="D50" s="6"/>
      <c r="E50" s="12">
        <v>400</v>
      </c>
      <c r="F50" s="13">
        <f t="shared" si="0"/>
        <v>0</v>
      </c>
      <c r="G50" s="8">
        <f>E72</f>
        <v>1.6</v>
      </c>
      <c r="H50" s="25">
        <f t="shared" si="1"/>
        <v>0</v>
      </c>
    </row>
    <row r="51" spans="2:9" x14ac:dyDescent="0.4">
      <c r="B51" s="23">
        <v>1</v>
      </c>
      <c r="C51" s="2" t="s">
        <v>80</v>
      </c>
      <c r="D51" s="6"/>
      <c r="E51" s="12">
        <v>2200</v>
      </c>
      <c r="F51" s="13">
        <f t="shared" ref="F51" si="2">B51*E51</f>
        <v>2200</v>
      </c>
      <c r="G51" s="8">
        <f>E72</f>
        <v>1.6</v>
      </c>
      <c r="H51" s="25">
        <f t="shared" ref="H51" si="3">F51*G51</f>
        <v>3520</v>
      </c>
    </row>
    <row r="52" spans="2:9" x14ac:dyDescent="0.4">
      <c r="B52" s="23">
        <v>1</v>
      </c>
      <c r="C52" s="1" t="s">
        <v>26</v>
      </c>
      <c r="D52" s="6"/>
      <c r="E52" s="12">
        <v>3260</v>
      </c>
      <c r="F52" s="13">
        <f t="shared" si="0"/>
        <v>3260</v>
      </c>
      <c r="G52" s="104">
        <f>E72</f>
        <v>1.6</v>
      </c>
      <c r="H52" s="25">
        <f t="shared" si="1"/>
        <v>5216</v>
      </c>
    </row>
    <row r="53" spans="2:9" x14ac:dyDescent="0.4">
      <c r="B53" s="23"/>
      <c r="C53" s="1" t="s">
        <v>27</v>
      </c>
      <c r="D53" s="6"/>
      <c r="E53" s="12">
        <v>2744</v>
      </c>
      <c r="F53" s="13">
        <f t="shared" si="0"/>
        <v>0</v>
      </c>
      <c r="G53" s="8">
        <f>E72</f>
        <v>1.6</v>
      </c>
      <c r="H53" s="25">
        <f t="shared" si="1"/>
        <v>0</v>
      </c>
    </row>
    <row r="54" spans="2:9" x14ac:dyDescent="0.4">
      <c r="B54" s="23">
        <v>1</v>
      </c>
      <c r="C54" s="1" t="s">
        <v>28</v>
      </c>
      <c r="D54" s="6"/>
      <c r="E54" s="12">
        <v>4142</v>
      </c>
      <c r="F54" s="13">
        <f t="shared" si="0"/>
        <v>4142</v>
      </c>
      <c r="G54" s="8">
        <f>E72</f>
        <v>1.6</v>
      </c>
      <c r="H54" s="25">
        <f t="shared" si="1"/>
        <v>6627.2000000000007</v>
      </c>
    </row>
    <row r="55" spans="2:9" x14ac:dyDescent="0.4">
      <c r="B55" s="23"/>
      <c r="C55" s="2" t="s">
        <v>54</v>
      </c>
      <c r="D55" s="6"/>
      <c r="E55" s="12">
        <v>2862</v>
      </c>
      <c r="F55" s="13">
        <f t="shared" si="0"/>
        <v>0</v>
      </c>
      <c r="G55" s="8">
        <f>E72</f>
        <v>1.6</v>
      </c>
      <c r="H55" s="25">
        <f t="shared" si="1"/>
        <v>0</v>
      </c>
    </row>
    <row r="56" spans="2:9" x14ac:dyDescent="0.4">
      <c r="B56" s="23">
        <v>1</v>
      </c>
      <c r="C56" s="1" t="s">
        <v>29</v>
      </c>
      <c r="D56" s="6"/>
      <c r="E56" s="12">
        <v>3457</v>
      </c>
      <c r="F56" s="13">
        <f t="shared" si="0"/>
        <v>3457</v>
      </c>
      <c r="G56" s="8">
        <f>E72</f>
        <v>1.6</v>
      </c>
      <c r="H56" s="25">
        <f t="shared" si="1"/>
        <v>5531.2000000000007</v>
      </c>
    </row>
    <row r="57" spans="2:9" x14ac:dyDescent="0.4">
      <c r="B57" s="23">
        <v>1</v>
      </c>
      <c r="C57" s="1" t="s">
        <v>25</v>
      </c>
      <c r="D57" s="6"/>
      <c r="E57" s="12">
        <v>658</v>
      </c>
      <c r="F57" s="13">
        <f t="shared" si="0"/>
        <v>658</v>
      </c>
      <c r="G57" s="8">
        <f>E72</f>
        <v>1.6</v>
      </c>
      <c r="H57" s="25">
        <f t="shared" si="1"/>
        <v>1052.8</v>
      </c>
    </row>
    <row r="58" spans="2:9" x14ac:dyDescent="0.4">
      <c r="B58" s="23"/>
      <c r="C58" s="1" t="s">
        <v>60</v>
      </c>
      <c r="D58" s="6"/>
      <c r="E58" s="12">
        <v>1598.5</v>
      </c>
      <c r="F58" s="13">
        <f t="shared" si="0"/>
        <v>0</v>
      </c>
      <c r="G58" s="8">
        <f>E72</f>
        <v>1.6</v>
      </c>
      <c r="H58" s="25">
        <f t="shared" si="1"/>
        <v>0</v>
      </c>
    </row>
    <row r="59" spans="2:9" ht="15.75" customHeight="1" x14ac:dyDescent="0.4">
      <c r="B59" s="23"/>
      <c r="C59" s="1" t="s">
        <v>48</v>
      </c>
      <c r="D59" s="6"/>
      <c r="E59" s="12">
        <v>400</v>
      </c>
      <c r="F59" s="13">
        <f t="shared" si="0"/>
        <v>0</v>
      </c>
      <c r="G59" s="8">
        <f>E72</f>
        <v>1.6</v>
      </c>
      <c r="H59" s="25">
        <f t="shared" si="1"/>
        <v>0</v>
      </c>
    </row>
    <row r="60" spans="2:9" ht="12.75" customHeight="1" thickBot="1" x14ac:dyDescent="0.45">
      <c r="B60" s="23"/>
      <c r="C60" s="27" t="s">
        <v>63</v>
      </c>
      <c r="D60" s="28"/>
      <c r="E60" s="12">
        <v>4460</v>
      </c>
      <c r="F60" s="13">
        <f t="shared" si="0"/>
        <v>0</v>
      </c>
      <c r="G60" s="29">
        <f>E72</f>
        <v>1.6</v>
      </c>
      <c r="H60" s="25">
        <f t="shared" si="1"/>
        <v>0</v>
      </c>
    </row>
    <row r="61" spans="2:9" ht="15.6" thickTop="1" thickBot="1" x14ac:dyDescent="0.55000000000000004">
      <c r="B61" s="30" t="s">
        <v>5</v>
      </c>
      <c r="C61" s="31"/>
      <c r="D61" s="32"/>
      <c r="E61" s="33"/>
      <c r="F61" s="35">
        <f>SUM(F12:F60)</f>
        <v>153943</v>
      </c>
      <c r="G61" s="34">
        <f>E72</f>
        <v>1.6</v>
      </c>
      <c r="H61" s="35">
        <f>SUM(H12:H60)</f>
        <v>246308.80000000002</v>
      </c>
      <c r="I61" s="36"/>
    </row>
    <row r="62" spans="2:9" ht="12.75" customHeight="1" x14ac:dyDescent="0.4">
      <c r="B62" s="37"/>
      <c r="C62" s="123"/>
      <c r="D62" s="123"/>
      <c r="G62" s="38"/>
      <c r="H62" s="39"/>
    </row>
    <row r="63" spans="2:9" ht="12.75" customHeight="1" x14ac:dyDescent="0.4">
      <c r="B63" s="124" t="s">
        <v>10</v>
      </c>
      <c r="C63" s="125"/>
      <c r="D63" s="125"/>
      <c r="E63" s="125"/>
      <c r="F63" s="126"/>
      <c r="G63" s="126"/>
      <c r="H63" s="127"/>
    </row>
    <row r="64" spans="2:9" ht="12.75" customHeight="1" x14ac:dyDescent="0.4">
      <c r="B64" s="40" t="s">
        <v>2</v>
      </c>
      <c r="C64" s="128" t="s">
        <v>3</v>
      </c>
      <c r="D64" s="129"/>
      <c r="E64" s="41" t="s">
        <v>4</v>
      </c>
      <c r="F64" s="42"/>
      <c r="G64" s="43"/>
      <c r="H64" s="44" t="s">
        <v>6</v>
      </c>
    </row>
    <row r="65" spans="2:9" ht="12.75" customHeight="1" x14ac:dyDescent="0.4">
      <c r="B65" s="23">
        <v>1</v>
      </c>
      <c r="C65" s="130" t="s">
        <v>38</v>
      </c>
      <c r="D65" s="122"/>
      <c r="E65" s="12">
        <v>25882</v>
      </c>
      <c r="F65" s="13">
        <f t="shared" ref="F65:F67" si="4">B65*E65</f>
        <v>25882</v>
      </c>
      <c r="G65" s="45">
        <f>E72</f>
        <v>1.6</v>
      </c>
      <c r="H65" s="25">
        <f t="shared" ref="H65:H67" si="5">E65*B65*G65</f>
        <v>41411.200000000004</v>
      </c>
    </row>
    <row r="66" spans="2:9" ht="12.75" customHeight="1" x14ac:dyDescent="0.4">
      <c r="B66" s="23"/>
      <c r="C66" s="24" t="s">
        <v>57</v>
      </c>
      <c r="D66" s="46"/>
      <c r="E66" s="12">
        <v>10000</v>
      </c>
      <c r="F66" s="13">
        <f t="shared" si="4"/>
        <v>0</v>
      </c>
      <c r="G66" s="45">
        <f>E72</f>
        <v>1.6</v>
      </c>
      <c r="H66" s="25">
        <f t="shared" si="5"/>
        <v>0</v>
      </c>
    </row>
    <row r="67" spans="2:9" ht="12.75" customHeight="1" thickBot="1" x14ac:dyDescent="0.45">
      <c r="B67" s="23">
        <v>800</v>
      </c>
      <c r="C67" s="121" t="s">
        <v>14</v>
      </c>
      <c r="D67" s="122"/>
      <c r="E67" s="12">
        <v>50</v>
      </c>
      <c r="F67" s="13">
        <f t="shared" si="4"/>
        <v>40000</v>
      </c>
      <c r="G67" s="45">
        <f>E72</f>
        <v>1.6</v>
      </c>
      <c r="H67" s="25">
        <f t="shared" si="5"/>
        <v>64000</v>
      </c>
    </row>
    <row r="68" spans="2:9" ht="15.6" thickTop="1" thickBot="1" x14ac:dyDescent="0.55000000000000004">
      <c r="B68" s="37"/>
      <c r="C68" s="123" t="s">
        <v>11</v>
      </c>
      <c r="D68" s="120"/>
      <c r="E68" s="47"/>
      <c r="F68" s="49">
        <f>SUM(F65:F67)</f>
        <v>65882</v>
      </c>
      <c r="G68" s="48"/>
      <c r="H68" s="49">
        <f>SUM(H65:H67)</f>
        <v>105411.20000000001</v>
      </c>
    </row>
    <row r="69" spans="2:9" ht="12.75" customHeight="1" thickTop="1" thickBot="1" x14ac:dyDescent="0.45">
      <c r="B69" s="37"/>
      <c r="C69" s="116"/>
      <c r="D69" s="116"/>
      <c r="E69" s="50"/>
      <c r="F69" s="51"/>
      <c r="G69" s="52"/>
      <c r="H69" s="53"/>
    </row>
    <row r="70" spans="2:9" ht="15.6" thickTop="1" thickBot="1" x14ac:dyDescent="0.55000000000000004">
      <c r="B70" s="115" t="s">
        <v>12</v>
      </c>
      <c r="C70" s="116"/>
      <c r="D70" s="116"/>
      <c r="E70" s="89"/>
      <c r="F70" s="64">
        <f>F61+F68</f>
        <v>219825</v>
      </c>
      <c r="G70" s="54"/>
      <c r="H70" s="55">
        <f>H61+H68</f>
        <v>351720</v>
      </c>
    </row>
    <row r="71" spans="2:9" ht="12.75" customHeight="1" thickTop="1" thickBot="1" x14ac:dyDescent="0.45">
      <c r="B71" s="37"/>
      <c r="C71" s="116"/>
      <c r="D71" s="116"/>
      <c r="E71" s="92"/>
      <c r="F71" s="56"/>
      <c r="G71" s="57"/>
      <c r="H71" s="58"/>
    </row>
    <row r="72" spans="2:9" ht="21.6" customHeight="1" thickBot="1" x14ac:dyDescent="0.6">
      <c r="B72" s="115" t="s">
        <v>8</v>
      </c>
      <c r="C72" s="116"/>
      <c r="D72" s="116"/>
      <c r="E72" s="94">
        <v>1.6</v>
      </c>
      <c r="F72" s="91"/>
      <c r="G72" s="59"/>
      <c r="H72" s="25">
        <f>E72*E70</f>
        <v>0</v>
      </c>
    </row>
    <row r="73" spans="2:9" ht="12.75" customHeight="1" thickBot="1" x14ac:dyDescent="0.45">
      <c r="B73" s="37"/>
      <c r="C73" s="120"/>
      <c r="D73" s="120"/>
      <c r="E73" s="93"/>
      <c r="F73" s="60"/>
      <c r="G73" s="45"/>
      <c r="H73" s="61"/>
    </row>
    <row r="74" spans="2:9" ht="15.6" thickTop="1" thickBot="1" x14ac:dyDescent="0.55000000000000004">
      <c r="B74" s="115" t="s">
        <v>13</v>
      </c>
      <c r="C74" s="116"/>
      <c r="D74" s="116"/>
      <c r="E74" s="62"/>
      <c r="F74" s="90"/>
      <c r="G74" s="63"/>
      <c r="H74" s="64">
        <f>SUM(H69:H73)</f>
        <v>351720</v>
      </c>
    </row>
    <row r="75" spans="2:9" ht="12.75" customHeight="1" thickTop="1" x14ac:dyDescent="0.4">
      <c r="B75" s="65"/>
      <c r="C75" s="66"/>
      <c r="D75" s="66"/>
      <c r="E75" s="67"/>
      <c r="F75" s="68"/>
      <c r="G75" s="69"/>
      <c r="H75" s="70"/>
    </row>
    <row r="76" spans="2:9" ht="12.75" customHeight="1" x14ac:dyDescent="0.4">
      <c r="B76" s="71"/>
      <c r="D76" s="72"/>
      <c r="E76" s="117" t="s">
        <v>71</v>
      </c>
      <c r="F76" s="118"/>
      <c r="G76" s="119"/>
      <c r="H76" s="97">
        <f>H74*0.025</f>
        <v>8793</v>
      </c>
      <c r="I76" s="71"/>
    </row>
    <row r="77" spans="2:9" ht="12.75" customHeight="1" x14ac:dyDescent="0.4">
      <c r="B77" s="71"/>
      <c r="D77" s="72"/>
      <c r="E77" s="107" t="s">
        <v>72</v>
      </c>
      <c r="F77" s="108"/>
      <c r="G77" s="108"/>
      <c r="H77" s="98">
        <v>5500</v>
      </c>
    </row>
    <row r="78" spans="2:9" ht="12.75" customHeight="1" x14ac:dyDescent="0.4">
      <c r="B78" s="71"/>
      <c r="D78" s="72"/>
      <c r="E78" s="107" t="s">
        <v>73</v>
      </c>
      <c r="F78" s="108"/>
      <c r="G78" s="108"/>
      <c r="H78" s="95">
        <f>F61*0.005</f>
        <v>769.71500000000003</v>
      </c>
    </row>
    <row r="79" spans="2:9" ht="12.75" customHeight="1" x14ac:dyDescent="0.4">
      <c r="B79" s="71"/>
      <c r="D79" s="72"/>
      <c r="E79" s="107" t="s">
        <v>74</v>
      </c>
      <c r="F79" s="108"/>
      <c r="G79" s="109"/>
      <c r="H79" s="99">
        <v>0</v>
      </c>
      <c r="I79" s="71"/>
    </row>
    <row r="80" spans="2:9" ht="12.75" customHeight="1" x14ac:dyDescent="0.4">
      <c r="B80" s="71"/>
      <c r="D80" s="72"/>
      <c r="E80" s="107" t="s">
        <v>75</v>
      </c>
      <c r="F80" s="108"/>
      <c r="G80" s="109"/>
      <c r="H80" s="99">
        <v>0</v>
      </c>
      <c r="I80" s="71"/>
    </row>
    <row r="81" spans="2:9" x14ac:dyDescent="0.4">
      <c r="B81" s="71"/>
      <c r="D81" s="72"/>
      <c r="E81" s="107" t="s">
        <v>76</v>
      </c>
      <c r="F81" s="108"/>
      <c r="G81" s="109"/>
      <c r="H81" s="99">
        <v>7500</v>
      </c>
      <c r="I81" s="71"/>
    </row>
    <row r="82" spans="2:9" x14ac:dyDescent="0.4">
      <c r="B82" s="71"/>
      <c r="D82" s="72"/>
      <c r="E82" s="107" t="s">
        <v>77</v>
      </c>
      <c r="F82" s="108"/>
      <c r="G82" s="109"/>
      <c r="H82" s="102">
        <v>10000</v>
      </c>
    </row>
    <row r="83" spans="2:9" ht="12.6" thickBot="1" x14ac:dyDescent="0.45">
      <c r="B83" s="71"/>
      <c r="D83" s="72"/>
      <c r="E83" s="105"/>
      <c r="F83" s="106"/>
      <c r="G83" s="106"/>
      <c r="H83" s="100"/>
    </row>
    <row r="84" spans="2:9" ht="15.6" thickTop="1" thickBot="1" x14ac:dyDescent="0.55000000000000004">
      <c r="B84" s="73"/>
      <c r="C84" s="22"/>
      <c r="D84" s="74"/>
      <c r="E84" s="107" t="s">
        <v>78</v>
      </c>
      <c r="F84" s="108"/>
      <c r="G84" s="109"/>
      <c r="H84" s="96">
        <f>SUM(H76:H83)</f>
        <v>32562.715</v>
      </c>
    </row>
    <row r="85" spans="2:9" ht="12.9" thickTop="1" thickBot="1" x14ac:dyDescent="0.45">
      <c r="B85" s="75"/>
      <c r="C85" s="76"/>
      <c r="D85" s="76"/>
      <c r="E85" s="113"/>
      <c r="F85" s="106"/>
      <c r="G85" s="114"/>
      <c r="H85" s="101"/>
      <c r="I85" s="71"/>
    </row>
    <row r="86" spans="2:9" ht="15.6" thickTop="1" thickBot="1" x14ac:dyDescent="0.55000000000000004">
      <c r="B86" s="77"/>
      <c r="C86" s="78"/>
      <c r="D86" s="79"/>
      <c r="E86" s="110" t="s">
        <v>58</v>
      </c>
      <c r="F86" s="111"/>
      <c r="G86" s="112"/>
      <c r="H86" s="55">
        <f>H74-F70-H84</f>
        <v>99332.285000000003</v>
      </c>
    </row>
    <row r="91" spans="2:9" x14ac:dyDescent="0.4">
      <c r="D91" s="80"/>
      <c r="E91" s="80"/>
      <c r="F91" s="80"/>
      <c r="G91" s="81"/>
    </row>
    <row r="92" spans="2:9" x14ac:dyDescent="0.4">
      <c r="D92" s="80"/>
      <c r="E92" s="80"/>
      <c r="F92" s="80"/>
      <c r="G92" s="81"/>
    </row>
    <row r="93" spans="2:9" x14ac:dyDescent="0.4">
      <c r="D93" s="80"/>
      <c r="E93" s="80"/>
      <c r="F93" s="80"/>
      <c r="G93" s="81"/>
    </row>
    <row r="94" spans="2:9" x14ac:dyDescent="0.4">
      <c r="D94" s="80"/>
      <c r="E94" s="80"/>
      <c r="F94" s="80"/>
      <c r="G94" s="81"/>
    </row>
    <row r="95" spans="2:9" x14ac:dyDescent="0.4">
      <c r="D95" s="80"/>
      <c r="E95" s="80"/>
      <c r="F95" s="80"/>
      <c r="G95" s="81"/>
    </row>
    <row r="96" spans="2:9" x14ac:dyDescent="0.4">
      <c r="D96" s="80"/>
      <c r="E96" s="80"/>
      <c r="F96" s="80"/>
      <c r="G96" s="81"/>
    </row>
    <row r="97" spans="4:8" x14ac:dyDescent="0.4">
      <c r="D97" s="80"/>
      <c r="E97" s="80"/>
      <c r="F97" s="80"/>
      <c r="G97" s="81"/>
    </row>
    <row r="98" spans="4:8" x14ac:dyDescent="0.4">
      <c r="D98" s="80"/>
      <c r="E98" s="80"/>
      <c r="F98" s="80"/>
      <c r="G98" s="81"/>
    </row>
    <row r="99" spans="4:8" x14ac:dyDescent="0.4">
      <c r="D99" s="80"/>
      <c r="E99" s="80"/>
      <c r="F99" s="80"/>
      <c r="G99" s="81"/>
    </row>
    <row r="100" spans="4:8" x14ac:dyDescent="0.4">
      <c r="D100" s="80"/>
      <c r="E100" s="80"/>
      <c r="F100" s="80"/>
      <c r="G100" s="81"/>
      <c r="H100" s="80"/>
    </row>
    <row r="101" spans="4:8" x14ac:dyDescent="0.4">
      <c r="D101" s="80"/>
      <c r="E101" s="80"/>
      <c r="F101" s="80"/>
      <c r="G101" s="81"/>
    </row>
    <row r="102" spans="4:8" x14ac:dyDescent="0.4">
      <c r="D102" s="80"/>
      <c r="E102" s="80"/>
      <c r="F102" s="80"/>
      <c r="G102" s="81"/>
    </row>
    <row r="103" spans="4:8" x14ac:dyDescent="0.4">
      <c r="D103" s="80"/>
      <c r="E103" s="80"/>
      <c r="F103" s="80"/>
      <c r="G103" s="81"/>
    </row>
    <row r="104" spans="4:8" x14ac:dyDescent="0.4">
      <c r="D104" s="80"/>
      <c r="E104" s="80"/>
      <c r="F104" s="80"/>
      <c r="G104" s="81"/>
    </row>
    <row r="105" spans="4:8" x14ac:dyDescent="0.4">
      <c r="D105" s="80"/>
      <c r="E105" s="80"/>
      <c r="F105" s="80"/>
      <c r="G105" s="81"/>
    </row>
    <row r="106" spans="4:8" x14ac:dyDescent="0.4">
      <c r="D106" s="80"/>
      <c r="E106" s="80"/>
      <c r="F106" s="80"/>
      <c r="G106" s="81"/>
    </row>
    <row r="107" spans="4:8" x14ac:dyDescent="0.4">
      <c r="D107" s="80"/>
      <c r="E107" s="80"/>
      <c r="F107" s="80"/>
      <c r="G107" s="81"/>
    </row>
    <row r="108" spans="4:8" x14ac:dyDescent="0.4">
      <c r="D108" s="80"/>
      <c r="E108" s="80"/>
      <c r="F108" s="80"/>
      <c r="G108" s="81"/>
    </row>
    <row r="109" spans="4:8" x14ac:dyDescent="0.4">
      <c r="D109" s="80"/>
      <c r="E109" s="80"/>
      <c r="F109" s="80"/>
      <c r="G109" s="81"/>
    </row>
    <row r="110" spans="4:8" x14ac:dyDescent="0.4">
      <c r="D110" s="80"/>
      <c r="E110" s="80"/>
      <c r="F110" s="80"/>
      <c r="G110" s="81"/>
    </row>
  </sheetData>
  <mergeCells count="24">
    <mergeCell ref="B63:H63"/>
    <mergeCell ref="C64:D64"/>
    <mergeCell ref="C65:D65"/>
    <mergeCell ref="C62:D62"/>
    <mergeCell ref="C11:D11"/>
    <mergeCell ref="B70:D70"/>
    <mergeCell ref="C71:D71"/>
    <mergeCell ref="B72:D72"/>
    <mergeCell ref="C73:D73"/>
    <mergeCell ref="C67:D67"/>
    <mergeCell ref="C68:D68"/>
    <mergeCell ref="C69:D69"/>
    <mergeCell ref="E83:G83"/>
    <mergeCell ref="E84:G84"/>
    <mergeCell ref="E86:G86"/>
    <mergeCell ref="E85:G85"/>
    <mergeCell ref="B74:D74"/>
    <mergeCell ref="E76:G76"/>
    <mergeCell ref="E77:G77"/>
    <mergeCell ref="E78:G78"/>
    <mergeCell ref="E79:G79"/>
    <mergeCell ref="E80:G80"/>
    <mergeCell ref="E81:G81"/>
    <mergeCell ref="E82:G82"/>
  </mergeCells>
  <pageMargins left="0.2" right="0.2" top="0.25" bottom="0.25" header="0.3" footer="0.3"/>
  <pageSetup paperSize="3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111"/>
  <sheetViews>
    <sheetView tabSelected="1" workbookViewId="0">
      <selection activeCell="J93" sqref="J93"/>
    </sheetView>
  </sheetViews>
  <sheetFormatPr defaultColWidth="8.83203125" defaultRowHeight="12.3" x14ac:dyDescent="0.4"/>
  <cols>
    <col min="1" max="1" width="3" customWidth="1"/>
    <col min="2" max="2" width="7.83203125" customWidth="1"/>
    <col min="3" max="3" width="51.1640625" customWidth="1"/>
    <col min="4" max="4" width="5.1640625" customWidth="1"/>
    <col min="5" max="5" width="14.71875" customWidth="1"/>
    <col min="6" max="6" width="17.1640625" customWidth="1"/>
    <col min="7" max="7" width="8.71875" style="10" customWidth="1"/>
    <col min="8" max="8" width="17.27734375" customWidth="1"/>
  </cols>
  <sheetData>
    <row r="2" spans="2:8" x14ac:dyDescent="0.4">
      <c r="D2" s="3"/>
      <c r="E2" s="3"/>
      <c r="F2" s="3"/>
      <c r="G2" s="9"/>
    </row>
    <row r="4" spans="2:8" x14ac:dyDescent="0.4">
      <c r="D4" s="3"/>
      <c r="E4" s="4"/>
      <c r="F4" s="4"/>
      <c r="G4" s="11"/>
    </row>
    <row r="6" spans="2:8" x14ac:dyDescent="0.4">
      <c r="B6" s="14" t="s">
        <v>0</v>
      </c>
      <c r="C6" s="103" t="s">
        <v>84</v>
      </c>
      <c r="E6" s="14" t="s">
        <v>7</v>
      </c>
      <c r="F6" s="14"/>
      <c r="G6" s="16"/>
      <c r="H6" s="17">
        <f ca="1">TODAY()</f>
        <v>45288</v>
      </c>
    </row>
    <row r="7" spans="2:8" x14ac:dyDescent="0.4">
      <c r="B7" s="14"/>
      <c r="C7" s="18"/>
      <c r="E7" s="14"/>
      <c r="F7" s="14"/>
      <c r="G7" s="16"/>
      <c r="H7" s="18"/>
    </row>
    <row r="8" spans="2:8" x14ac:dyDescent="0.4">
      <c r="B8" s="14" t="s">
        <v>1</v>
      </c>
      <c r="C8" s="15" t="s">
        <v>15</v>
      </c>
      <c r="E8" s="14" t="s">
        <v>9</v>
      </c>
      <c r="F8" s="14"/>
      <c r="G8" s="16"/>
      <c r="H8" s="17"/>
    </row>
    <row r="9" spans="2:8" x14ac:dyDescent="0.4">
      <c r="B9" s="19"/>
      <c r="C9" s="20"/>
      <c r="E9" s="14"/>
      <c r="F9" s="14"/>
      <c r="G9" s="16"/>
    </row>
    <row r="10" spans="2:8" ht="12.6" thickBot="1" x14ac:dyDescent="0.45">
      <c r="B10" s="19"/>
      <c r="E10" s="82" t="s">
        <v>68</v>
      </c>
      <c r="F10" s="82" t="s">
        <v>68</v>
      </c>
      <c r="G10" s="21"/>
      <c r="H10" s="83" t="s">
        <v>68</v>
      </c>
    </row>
    <row r="11" spans="2:8" s="88" customFormat="1" ht="25.15" customHeight="1" x14ac:dyDescent="0.4">
      <c r="B11" s="84" t="s">
        <v>2</v>
      </c>
      <c r="C11" s="131" t="s">
        <v>3</v>
      </c>
      <c r="D11" s="132"/>
      <c r="E11" s="85" t="s">
        <v>67</v>
      </c>
      <c r="F11" s="85" t="s">
        <v>69</v>
      </c>
      <c r="G11" s="86" t="s">
        <v>66</v>
      </c>
      <c r="H11" s="87" t="s">
        <v>70</v>
      </c>
    </row>
    <row r="12" spans="2:8" ht="12.75" customHeight="1" x14ac:dyDescent="0.4">
      <c r="B12" s="23">
        <v>1</v>
      </c>
      <c r="C12" s="24" t="s">
        <v>59</v>
      </c>
      <c r="D12" s="5"/>
      <c r="E12" s="12">
        <v>9200</v>
      </c>
      <c r="F12" s="13">
        <f>B12*E12</f>
        <v>9200</v>
      </c>
      <c r="G12" s="8">
        <f>E73</f>
        <v>1.6</v>
      </c>
      <c r="H12" s="25">
        <f>F12*G12</f>
        <v>14720</v>
      </c>
    </row>
    <row r="13" spans="2:8" x14ac:dyDescent="0.4">
      <c r="B13" s="23">
        <v>1</v>
      </c>
      <c r="C13" s="24" t="s">
        <v>42</v>
      </c>
      <c r="D13" s="5"/>
      <c r="E13" s="12">
        <v>3625</v>
      </c>
      <c r="F13" s="13">
        <f t="shared" ref="F13:F61" si="0">B13*E13</f>
        <v>3625</v>
      </c>
      <c r="G13" s="8">
        <f>E73</f>
        <v>1.6</v>
      </c>
      <c r="H13" s="25">
        <f t="shared" ref="H13:H61" si="1">F13*G13</f>
        <v>5800</v>
      </c>
    </row>
    <row r="14" spans="2:8" x14ac:dyDescent="0.4">
      <c r="B14" s="23"/>
      <c r="C14" s="24" t="s">
        <v>65</v>
      </c>
      <c r="D14" s="5"/>
      <c r="E14" s="12">
        <v>1788</v>
      </c>
      <c r="F14" s="13">
        <f t="shared" si="0"/>
        <v>0</v>
      </c>
      <c r="G14" s="8">
        <f>E73</f>
        <v>1.6</v>
      </c>
      <c r="H14" s="25">
        <f t="shared" si="1"/>
        <v>0</v>
      </c>
    </row>
    <row r="15" spans="2:8" x14ac:dyDescent="0.4">
      <c r="B15" s="23"/>
      <c r="C15" s="24" t="s">
        <v>61</v>
      </c>
      <c r="D15" s="5"/>
      <c r="E15" s="12">
        <v>3500</v>
      </c>
      <c r="F15" s="13">
        <f t="shared" si="0"/>
        <v>0</v>
      </c>
      <c r="G15" s="8">
        <f>E73</f>
        <v>1.6</v>
      </c>
      <c r="H15" s="25">
        <f t="shared" si="1"/>
        <v>0</v>
      </c>
    </row>
    <row r="16" spans="2:8" x14ac:dyDescent="0.4">
      <c r="B16" s="23"/>
      <c r="C16" s="24" t="s">
        <v>62</v>
      </c>
      <c r="D16" s="5"/>
      <c r="E16" s="12">
        <v>2200</v>
      </c>
      <c r="F16" s="13">
        <f t="shared" si="0"/>
        <v>0</v>
      </c>
      <c r="G16" s="8">
        <f>E73</f>
        <v>1.6</v>
      </c>
      <c r="H16" s="25">
        <f t="shared" si="1"/>
        <v>0</v>
      </c>
    </row>
    <row r="17" spans="2:8" x14ac:dyDescent="0.4">
      <c r="B17" s="23">
        <v>1</v>
      </c>
      <c r="C17" s="26" t="s">
        <v>16</v>
      </c>
      <c r="D17" s="5"/>
      <c r="E17" s="12">
        <v>7000</v>
      </c>
      <c r="F17" s="13">
        <f t="shared" si="0"/>
        <v>7000</v>
      </c>
      <c r="G17" s="8">
        <f>E73</f>
        <v>1.6</v>
      </c>
      <c r="H17" s="25">
        <f t="shared" si="1"/>
        <v>11200</v>
      </c>
    </row>
    <row r="18" spans="2:8" x14ac:dyDescent="0.4">
      <c r="B18" s="23">
        <v>1</v>
      </c>
      <c r="C18" s="2" t="s">
        <v>56</v>
      </c>
      <c r="D18" s="6"/>
      <c r="E18" s="12">
        <v>23100</v>
      </c>
      <c r="F18" s="13">
        <f t="shared" si="0"/>
        <v>23100</v>
      </c>
      <c r="G18" s="8">
        <f>E73</f>
        <v>1.6</v>
      </c>
      <c r="H18" s="25">
        <f t="shared" si="1"/>
        <v>36960</v>
      </c>
    </row>
    <row r="19" spans="2:8" x14ac:dyDescent="0.4">
      <c r="B19" s="23"/>
      <c r="C19" s="2" t="s">
        <v>55</v>
      </c>
      <c r="D19" s="6"/>
      <c r="E19" s="12">
        <v>51000</v>
      </c>
      <c r="F19" s="13">
        <f t="shared" si="0"/>
        <v>0</v>
      </c>
      <c r="G19" s="8">
        <f>E73</f>
        <v>1.6</v>
      </c>
      <c r="H19" s="25">
        <f t="shared" si="1"/>
        <v>0</v>
      </c>
    </row>
    <row r="20" spans="2:8" x14ac:dyDescent="0.4">
      <c r="B20" s="23">
        <v>1</v>
      </c>
      <c r="C20" s="1" t="s">
        <v>30</v>
      </c>
      <c r="D20" s="6"/>
      <c r="E20" s="12">
        <v>1318</v>
      </c>
      <c r="F20" s="13">
        <f t="shared" si="0"/>
        <v>1318</v>
      </c>
      <c r="G20" s="8">
        <f>E73</f>
        <v>1.6</v>
      </c>
      <c r="H20" s="25">
        <f t="shared" si="1"/>
        <v>2108.8000000000002</v>
      </c>
    </row>
    <row r="21" spans="2:8" x14ac:dyDescent="0.4">
      <c r="B21" s="23">
        <v>1</v>
      </c>
      <c r="C21" s="1" t="s">
        <v>17</v>
      </c>
      <c r="D21" s="5"/>
      <c r="E21" s="12">
        <v>7000</v>
      </c>
      <c r="F21" s="13">
        <f t="shared" si="0"/>
        <v>7000</v>
      </c>
      <c r="G21" s="8">
        <v>1.3</v>
      </c>
      <c r="H21" s="25">
        <f t="shared" si="1"/>
        <v>9100</v>
      </c>
    </row>
    <row r="22" spans="2:8" x14ac:dyDescent="0.4">
      <c r="B22" s="23">
        <v>1</v>
      </c>
      <c r="C22" s="1" t="s">
        <v>18</v>
      </c>
      <c r="D22" s="5"/>
      <c r="E22" s="12">
        <v>18000</v>
      </c>
      <c r="F22" s="13">
        <f t="shared" si="0"/>
        <v>18000</v>
      </c>
      <c r="G22" s="8">
        <f>E73</f>
        <v>1.6</v>
      </c>
      <c r="H22" s="25">
        <f t="shared" si="1"/>
        <v>28800</v>
      </c>
    </row>
    <row r="23" spans="2:8" x14ac:dyDescent="0.4">
      <c r="B23" s="23">
        <v>1</v>
      </c>
      <c r="C23" s="1" t="s">
        <v>24</v>
      </c>
      <c r="D23" s="6"/>
      <c r="E23" s="12">
        <v>1800</v>
      </c>
      <c r="F23" s="13">
        <f t="shared" si="0"/>
        <v>1800</v>
      </c>
      <c r="G23" s="8">
        <f>E73</f>
        <v>1.6</v>
      </c>
      <c r="H23" s="25">
        <f t="shared" si="1"/>
        <v>2880</v>
      </c>
    </row>
    <row r="24" spans="2:8" x14ac:dyDescent="0.4">
      <c r="B24" s="23">
        <v>1</v>
      </c>
      <c r="C24" s="1" t="s">
        <v>19</v>
      </c>
      <c r="D24" s="5"/>
      <c r="E24" s="12">
        <v>6043</v>
      </c>
      <c r="F24" s="13">
        <f t="shared" si="0"/>
        <v>6043</v>
      </c>
      <c r="G24" s="8">
        <f>E73</f>
        <v>1.6</v>
      </c>
      <c r="H24" s="25">
        <f t="shared" si="1"/>
        <v>9668.8000000000011</v>
      </c>
    </row>
    <row r="25" spans="2:8" x14ac:dyDescent="0.4">
      <c r="B25" s="23">
        <v>1</v>
      </c>
      <c r="C25" s="1" t="s">
        <v>20</v>
      </c>
      <c r="D25" s="5"/>
      <c r="E25" s="12">
        <v>2000</v>
      </c>
      <c r="F25" s="13">
        <f t="shared" si="0"/>
        <v>2000</v>
      </c>
      <c r="G25" s="8">
        <f>E73</f>
        <v>1.6</v>
      </c>
      <c r="H25" s="25">
        <f t="shared" si="1"/>
        <v>3200</v>
      </c>
    </row>
    <row r="26" spans="2:8" x14ac:dyDescent="0.4">
      <c r="B26" s="23">
        <v>1</v>
      </c>
      <c r="C26" s="1" t="s">
        <v>21</v>
      </c>
      <c r="D26" s="6"/>
      <c r="E26" s="12">
        <v>27500</v>
      </c>
      <c r="F26" s="13">
        <f t="shared" si="0"/>
        <v>27500</v>
      </c>
      <c r="G26" s="8">
        <f>E73</f>
        <v>1.6</v>
      </c>
      <c r="H26" s="25">
        <f t="shared" si="1"/>
        <v>44000</v>
      </c>
    </row>
    <row r="27" spans="2:8" x14ac:dyDescent="0.4">
      <c r="B27" s="23"/>
      <c r="C27" s="1" t="s">
        <v>49</v>
      </c>
      <c r="D27" s="6"/>
      <c r="E27" s="12">
        <v>3000</v>
      </c>
      <c r="F27" s="13">
        <f t="shared" si="0"/>
        <v>0</v>
      </c>
      <c r="G27" s="8">
        <f>E73</f>
        <v>1.6</v>
      </c>
      <c r="H27" s="25">
        <f t="shared" si="1"/>
        <v>0</v>
      </c>
    </row>
    <row r="28" spans="2:8" x14ac:dyDescent="0.4">
      <c r="B28" s="23"/>
      <c r="C28" s="2" t="s">
        <v>45</v>
      </c>
      <c r="D28" s="7"/>
      <c r="E28" s="12">
        <v>15750</v>
      </c>
      <c r="F28" s="13">
        <f t="shared" si="0"/>
        <v>0</v>
      </c>
      <c r="G28" s="8">
        <f>E73</f>
        <v>1.6</v>
      </c>
      <c r="H28" s="25">
        <f t="shared" si="1"/>
        <v>0</v>
      </c>
    </row>
    <row r="29" spans="2:8" x14ac:dyDescent="0.4">
      <c r="B29" s="23">
        <v>1</v>
      </c>
      <c r="C29" s="1" t="s">
        <v>23</v>
      </c>
      <c r="D29" s="5"/>
      <c r="E29" s="12">
        <v>17500</v>
      </c>
      <c r="F29" s="13">
        <f t="shared" si="0"/>
        <v>17500</v>
      </c>
      <c r="G29" s="8">
        <f>E73</f>
        <v>1.6</v>
      </c>
      <c r="H29" s="25">
        <f t="shared" si="1"/>
        <v>28000</v>
      </c>
    </row>
    <row r="30" spans="2:8" x14ac:dyDescent="0.4">
      <c r="B30" s="23"/>
      <c r="C30" s="2" t="s">
        <v>47</v>
      </c>
      <c r="D30" s="7"/>
      <c r="E30" s="12">
        <v>4200</v>
      </c>
      <c r="F30" s="13">
        <f t="shared" si="0"/>
        <v>0</v>
      </c>
      <c r="G30" s="8">
        <f>E73</f>
        <v>1.6</v>
      </c>
      <c r="H30" s="25">
        <f t="shared" si="1"/>
        <v>0</v>
      </c>
    </row>
    <row r="31" spans="2:8" x14ac:dyDescent="0.4">
      <c r="B31" s="23">
        <v>1</v>
      </c>
      <c r="C31" s="1" t="s">
        <v>43</v>
      </c>
      <c r="D31" s="6"/>
      <c r="E31" s="12">
        <v>3500</v>
      </c>
      <c r="F31" s="13">
        <f t="shared" si="0"/>
        <v>3500</v>
      </c>
      <c r="G31" s="8">
        <f>E73</f>
        <v>1.6</v>
      </c>
      <c r="H31" s="25">
        <f t="shared" si="1"/>
        <v>5600</v>
      </c>
    </row>
    <row r="32" spans="2:8" x14ac:dyDescent="0.4">
      <c r="B32" s="23"/>
      <c r="C32" s="2" t="s">
        <v>40</v>
      </c>
      <c r="D32" s="7"/>
      <c r="E32" s="12">
        <v>3480</v>
      </c>
      <c r="F32" s="13">
        <f t="shared" si="0"/>
        <v>0</v>
      </c>
      <c r="G32" s="8">
        <f>E73</f>
        <v>1.6</v>
      </c>
      <c r="H32" s="25">
        <f t="shared" si="1"/>
        <v>0</v>
      </c>
    </row>
    <row r="33" spans="2:8" x14ac:dyDescent="0.4">
      <c r="B33" s="23">
        <v>1</v>
      </c>
      <c r="C33" s="1" t="s">
        <v>22</v>
      </c>
      <c r="D33" s="5"/>
      <c r="E33" s="12">
        <v>7300</v>
      </c>
      <c r="F33" s="13">
        <f t="shared" si="0"/>
        <v>7300</v>
      </c>
      <c r="G33" s="8">
        <f>E73</f>
        <v>1.6</v>
      </c>
      <c r="H33" s="25">
        <f t="shared" si="1"/>
        <v>11680</v>
      </c>
    </row>
    <row r="34" spans="2:8" x14ac:dyDescent="0.4">
      <c r="B34" s="23"/>
      <c r="C34" s="2" t="s">
        <v>41</v>
      </c>
      <c r="D34" s="5"/>
      <c r="E34" s="12">
        <v>8000</v>
      </c>
      <c r="F34" s="13">
        <f t="shared" si="0"/>
        <v>0</v>
      </c>
      <c r="G34" s="8">
        <f>E73</f>
        <v>1.6</v>
      </c>
      <c r="H34" s="25">
        <f t="shared" si="1"/>
        <v>0</v>
      </c>
    </row>
    <row r="35" spans="2:8" x14ac:dyDescent="0.4">
      <c r="B35" s="23"/>
      <c r="C35" s="2" t="s">
        <v>50</v>
      </c>
      <c r="D35" s="6"/>
      <c r="E35" s="12">
        <v>8415</v>
      </c>
      <c r="F35" s="13">
        <f t="shared" si="0"/>
        <v>0</v>
      </c>
      <c r="G35" s="8">
        <f>E73</f>
        <v>1.6</v>
      </c>
      <c r="H35" s="25">
        <f t="shared" si="1"/>
        <v>0</v>
      </c>
    </row>
    <row r="36" spans="2:8" x14ac:dyDescent="0.4">
      <c r="B36" s="23"/>
      <c r="C36" s="1" t="s">
        <v>34</v>
      </c>
      <c r="D36" s="6"/>
      <c r="E36" s="12">
        <v>2065</v>
      </c>
      <c r="F36" s="13">
        <f t="shared" si="0"/>
        <v>0</v>
      </c>
      <c r="G36" s="8">
        <f>E73</f>
        <v>1.6</v>
      </c>
      <c r="H36" s="25">
        <f t="shared" si="1"/>
        <v>0</v>
      </c>
    </row>
    <row r="37" spans="2:8" x14ac:dyDescent="0.4">
      <c r="B37" s="23"/>
      <c r="C37" s="2" t="s">
        <v>35</v>
      </c>
      <c r="D37" s="6"/>
      <c r="E37" s="12"/>
      <c r="F37" s="13">
        <f t="shared" si="0"/>
        <v>0</v>
      </c>
      <c r="G37" s="8">
        <f>E73</f>
        <v>1.6</v>
      </c>
      <c r="H37" s="25">
        <f t="shared" si="1"/>
        <v>0</v>
      </c>
    </row>
    <row r="38" spans="2:8" x14ac:dyDescent="0.4">
      <c r="B38" s="23"/>
      <c r="C38" s="2" t="s">
        <v>64</v>
      </c>
      <c r="D38" s="6"/>
      <c r="E38" s="12">
        <v>2400</v>
      </c>
      <c r="F38" s="13">
        <f t="shared" si="0"/>
        <v>0</v>
      </c>
      <c r="G38" s="8">
        <f>E73</f>
        <v>1.6</v>
      </c>
      <c r="H38" s="25">
        <f t="shared" si="1"/>
        <v>0</v>
      </c>
    </row>
    <row r="39" spans="2:8" x14ac:dyDescent="0.4">
      <c r="B39" s="23"/>
      <c r="C39" s="2" t="s">
        <v>46</v>
      </c>
      <c r="D39" s="6"/>
      <c r="E39" s="12">
        <v>29750</v>
      </c>
      <c r="F39" s="13">
        <f t="shared" si="0"/>
        <v>0</v>
      </c>
      <c r="G39" s="8">
        <f>E73</f>
        <v>1.6</v>
      </c>
      <c r="H39" s="25">
        <f t="shared" si="1"/>
        <v>0</v>
      </c>
    </row>
    <row r="40" spans="2:8" x14ac:dyDescent="0.4">
      <c r="B40" s="23"/>
      <c r="C40" s="2" t="s">
        <v>36</v>
      </c>
      <c r="D40" s="6"/>
      <c r="E40" s="12">
        <v>3500</v>
      </c>
      <c r="F40" s="13">
        <f t="shared" si="0"/>
        <v>0</v>
      </c>
      <c r="G40" s="8">
        <f>E73</f>
        <v>1.6</v>
      </c>
      <c r="H40" s="25">
        <f t="shared" si="1"/>
        <v>0</v>
      </c>
    </row>
    <row r="41" spans="2:8" x14ac:dyDescent="0.4">
      <c r="B41" s="23"/>
      <c r="C41" s="2" t="s">
        <v>37</v>
      </c>
      <c r="D41" s="6"/>
      <c r="E41" s="12">
        <v>7200</v>
      </c>
      <c r="F41" s="13">
        <f t="shared" si="0"/>
        <v>0</v>
      </c>
      <c r="G41" s="8">
        <f>E73</f>
        <v>1.6</v>
      </c>
      <c r="H41" s="25">
        <f t="shared" si="1"/>
        <v>0</v>
      </c>
    </row>
    <row r="42" spans="2:8" x14ac:dyDescent="0.4">
      <c r="B42" s="23"/>
      <c r="C42" s="2" t="s">
        <v>39</v>
      </c>
      <c r="D42" s="6"/>
      <c r="E42" s="12">
        <v>1300</v>
      </c>
      <c r="F42" s="13">
        <f t="shared" si="0"/>
        <v>0</v>
      </c>
      <c r="G42" s="8">
        <f>E73</f>
        <v>1.6</v>
      </c>
      <c r="H42" s="25">
        <f t="shared" si="1"/>
        <v>0</v>
      </c>
    </row>
    <row r="43" spans="2:8" x14ac:dyDescent="0.4">
      <c r="B43" s="23"/>
      <c r="C43" s="2" t="s">
        <v>51</v>
      </c>
      <c r="D43" s="6"/>
      <c r="E43" s="12">
        <v>1500</v>
      </c>
      <c r="F43" s="13">
        <f t="shared" si="0"/>
        <v>0</v>
      </c>
      <c r="G43" s="8">
        <f>E73</f>
        <v>1.6</v>
      </c>
      <c r="H43" s="25">
        <f t="shared" si="1"/>
        <v>0</v>
      </c>
    </row>
    <row r="44" spans="2:8" x14ac:dyDescent="0.4">
      <c r="B44" s="23"/>
      <c r="C44" s="2" t="s">
        <v>52</v>
      </c>
      <c r="D44" s="6"/>
      <c r="E44" s="12">
        <v>500</v>
      </c>
      <c r="F44" s="13">
        <f t="shared" si="0"/>
        <v>0</v>
      </c>
      <c r="G44" s="8">
        <f>E73</f>
        <v>1.6</v>
      </c>
      <c r="H44" s="25">
        <f t="shared" si="1"/>
        <v>0</v>
      </c>
    </row>
    <row r="45" spans="2:8" x14ac:dyDescent="0.4">
      <c r="B45" s="23">
        <v>1</v>
      </c>
      <c r="C45" s="2" t="s">
        <v>53</v>
      </c>
      <c r="D45" s="7"/>
      <c r="E45" s="12">
        <v>4000</v>
      </c>
      <c r="F45" s="13">
        <f t="shared" si="0"/>
        <v>4000</v>
      </c>
      <c r="G45" s="8">
        <f>E73</f>
        <v>1.6</v>
      </c>
      <c r="H45" s="25">
        <f t="shared" si="1"/>
        <v>6400</v>
      </c>
    </row>
    <row r="46" spans="2:8" x14ac:dyDescent="0.4">
      <c r="B46" s="23"/>
      <c r="C46" s="1" t="s">
        <v>44</v>
      </c>
      <c r="D46" s="6"/>
      <c r="E46" s="12">
        <v>1915</v>
      </c>
      <c r="F46" s="13">
        <f t="shared" si="0"/>
        <v>0</v>
      </c>
      <c r="G46" s="8">
        <f>E73</f>
        <v>1.6</v>
      </c>
      <c r="H46" s="25">
        <f t="shared" si="1"/>
        <v>0</v>
      </c>
    </row>
    <row r="47" spans="2:8" x14ac:dyDescent="0.4">
      <c r="B47" s="23">
        <v>12</v>
      </c>
      <c r="C47" s="1" t="s">
        <v>31</v>
      </c>
      <c r="D47" s="6"/>
      <c r="E47" s="12">
        <v>86</v>
      </c>
      <c r="F47" s="13">
        <f t="shared" si="0"/>
        <v>1032</v>
      </c>
      <c r="G47" s="8">
        <f>E73</f>
        <v>1.6</v>
      </c>
      <c r="H47" s="25">
        <f t="shared" si="1"/>
        <v>1651.2</v>
      </c>
    </row>
    <row r="48" spans="2:8" x14ac:dyDescent="0.4">
      <c r="B48" s="23">
        <v>12</v>
      </c>
      <c r="C48" s="1" t="s">
        <v>32</v>
      </c>
      <c r="D48" s="6"/>
      <c r="E48" s="12">
        <v>21.5</v>
      </c>
      <c r="F48" s="13">
        <f t="shared" si="0"/>
        <v>258</v>
      </c>
      <c r="G48" s="8">
        <f>E73</f>
        <v>1.6</v>
      </c>
      <c r="H48" s="25">
        <f t="shared" si="1"/>
        <v>412.8</v>
      </c>
    </row>
    <row r="49" spans="2:9" x14ac:dyDescent="0.4">
      <c r="B49" s="23">
        <v>1</v>
      </c>
      <c r="C49" s="1" t="s">
        <v>33</v>
      </c>
      <c r="D49" s="6"/>
      <c r="E49" s="12">
        <v>50</v>
      </c>
      <c r="F49" s="13">
        <f t="shared" si="0"/>
        <v>50</v>
      </c>
      <c r="G49" s="8">
        <f>E73</f>
        <v>1.6</v>
      </c>
      <c r="H49" s="25">
        <f t="shared" si="1"/>
        <v>80</v>
      </c>
    </row>
    <row r="50" spans="2:9" x14ac:dyDescent="0.4">
      <c r="B50" s="23"/>
      <c r="C50" s="2" t="s">
        <v>79</v>
      </c>
      <c r="D50" s="6"/>
      <c r="E50" s="12">
        <v>400</v>
      </c>
      <c r="F50" s="13">
        <f t="shared" si="0"/>
        <v>0</v>
      </c>
      <c r="G50" s="8">
        <f>E73</f>
        <v>1.6</v>
      </c>
      <c r="H50" s="25">
        <f t="shared" si="1"/>
        <v>0</v>
      </c>
    </row>
    <row r="51" spans="2:9" x14ac:dyDescent="0.4">
      <c r="B51" s="23">
        <v>1</v>
      </c>
      <c r="C51" s="2" t="s">
        <v>80</v>
      </c>
      <c r="D51" s="6"/>
      <c r="E51" s="12">
        <v>2200</v>
      </c>
      <c r="F51" s="13">
        <f t="shared" si="0"/>
        <v>2200</v>
      </c>
      <c r="G51" s="8">
        <f>E73</f>
        <v>1.6</v>
      </c>
      <c r="H51" s="25">
        <f t="shared" si="1"/>
        <v>3520</v>
      </c>
    </row>
    <row r="52" spans="2:9" x14ac:dyDescent="0.4">
      <c r="B52" s="23">
        <v>1</v>
      </c>
      <c r="C52" s="1" t="s">
        <v>26</v>
      </c>
      <c r="D52" s="6"/>
      <c r="E52" s="12">
        <v>3260</v>
      </c>
      <c r="F52" s="13">
        <f t="shared" si="0"/>
        <v>3260</v>
      </c>
      <c r="G52" s="104">
        <f>E73</f>
        <v>1.6</v>
      </c>
      <c r="H52" s="25">
        <f t="shared" si="1"/>
        <v>5216</v>
      </c>
    </row>
    <row r="53" spans="2:9" x14ac:dyDescent="0.4">
      <c r="B53" s="23"/>
      <c r="C53" s="1" t="s">
        <v>27</v>
      </c>
      <c r="D53" s="6"/>
      <c r="E53" s="12">
        <v>2744</v>
      </c>
      <c r="F53" s="13">
        <f t="shared" si="0"/>
        <v>0</v>
      </c>
      <c r="G53" s="8">
        <f>E73</f>
        <v>1.6</v>
      </c>
      <c r="H53" s="25">
        <f t="shared" si="1"/>
        <v>0</v>
      </c>
    </row>
    <row r="54" spans="2:9" x14ac:dyDescent="0.4">
      <c r="B54" s="23">
        <v>1</v>
      </c>
      <c r="C54" s="1" t="s">
        <v>28</v>
      </c>
      <c r="D54" s="6"/>
      <c r="E54" s="12">
        <v>4142</v>
      </c>
      <c r="F54" s="13">
        <f t="shared" si="0"/>
        <v>4142</v>
      </c>
      <c r="G54" s="8">
        <f>E73</f>
        <v>1.6</v>
      </c>
      <c r="H54" s="25">
        <f t="shared" si="1"/>
        <v>6627.2000000000007</v>
      </c>
    </row>
    <row r="55" spans="2:9" x14ac:dyDescent="0.4">
      <c r="B55" s="23"/>
      <c r="C55" s="2" t="s">
        <v>54</v>
      </c>
      <c r="D55" s="6"/>
      <c r="E55" s="12">
        <v>2862</v>
      </c>
      <c r="F55" s="13">
        <f t="shared" si="0"/>
        <v>0</v>
      </c>
      <c r="G55" s="8">
        <f>E73</f>
        <v>1.6</v>
      </c>
      <c r="H55" s="25">
        <f t="shared" si="1"/>
        <v>0</v>
      </c>
    </row>
    <row r="56" spans="2:9" x14ac:dyDescent="0.4">
      <c r="B56" s="23">
        <v>1</v>
      </c>
      <c r="C56" s="1" t="s">
        <v>29</v>
      </c>
      <c r="D56" s="6"/>
      <c r="E56" s="12">
        <v>3457</v>
      </c>
      <c r="F56" s="13">
        <f t="shared" si="0"/>
        <v>3457</v>
      </c>
      <c r="G56" s="8">
        <f>E73</f>
        <v>1.6</v>
      </c>
      <c r="H56" s="25">
        <f t="shared" si="1"/>
        <v>5531.2000000000007</v>
      </c>
    </row>
    <row r="57" spans="2:9" x14ac:dyDescent="0.4">
      <c r="B57" s="23">
        <v>1</v>
      </c>
      <c r="C57" s="1" t="s">
        <v>25</v>
      </c>
      <c r="D57" s="6"/>
      <c r="E57" s="12">
        <v>658</v>
      </c>
      <c r="F57" s="13">
        <f t="shared" si="0"/>
        <v>658</v>
      </c>
      <c r="G57" s="8">
        <f>E73</f>
        <v>1.6</v>
      </c>
      <c r="H57" s="25">
        <f t="shared" si="1"/>
        <v>1052.8</v>
      </c>
    </row>
    <row r="58" spans="2:9" x14ac:dyDescent="0.4">
      <c r="B58" s="23"/>
      <c r="C58" s="1" t="s">
        <v>60</v>
      </c>
      <c r="D58" s="6"/>
      <c r="E58" s="12">
        <v>1598.5</v>
      </c>
      <c r="F58" s="13">
        <f t="shared" si="0"/>
        <v>0</v>
      </c>
      <c r="G58" s="8">
        <f>E73</f>
        <v>1.6</v>
      </c>
      <c r="H58" s="25">
        <f t="shared" si="1"/>
        <v>0</v>
      </c>
    </row>
    <row r="59" spans="2:9" x14ac:dyDescent="0.4">
      <c r="B59" s="23"/>
      <c r="C59" s="1" t="s">
        <v>83</v>
      </c>
      <c r="D59" s="6"/>
      <c r="E59" s="12">
        <v>5324</v>
      </c>
      <c r="F59" s="13">
        <f t="shared" si="0"/>
        <v>0</v>
      </c>
      <c r="G59" s="8">
        <v>1.6</v>
      </c>
      <c r="H59" s="25">
        <f t="shared" si="1"/>
        <v>0</v>
      </c>
    </row>
    <row r="60" spans="2:9" ht="15.75" customHeight="1" x14ac:dyDescent="0.4">
      <c r="B60" s="23"/>
      <c r="C60" s="1" t="s">
        <v>48</v>
      </c>
      <c r="D60" s="6"/>
      <c r="E60" s="12">
        <v>400</v>
      </c>
      <c r="F60" s="13">
        <f t="shared" si="0"/>
        <v>0</v>
      </c>
      <c r="G60" s="8">
        <f>E73</f>
        <v>1.6</v>
      </c>
      <c r="H60" s="25">
        <f t="shared" si="1"/>
        <v>0</v>
      </c>
    </row>
    <row r="61" spans="2:9" ht="12.75" customHeight="1" thickBot="1" x14ac:dyDescent="0.45">
      <c r="B61" s="23"/>
      <c r="C61" s="27" t="s">
        <v>63</v>
      </c>
      <c r="D61" s="28"/>
      <c r="E61" s="12">
        <v>4460</v>
      </c>
      <c r="F61" s="13">
        <f t="shared" si="0"/>
        <v>0</v>
      </c>
      <c r="G61" s="29">
        <f>E73</f>
        <v>1.6</v>
      </c>
      <c r="H61" s="25">
        <f t="shared" si="1"/>
        <v>0</v>
      </c>
    </row>
    <row r="62" spans="2:9" ht="15.6" thickTop="1" thickBot="1" x14ac:dyDescent="0.55000000000000004">
      <c r="B62" s="30" t="s">
        <v>5</v>
      </c>
      <c r="C62" s="31"/>
      <c r="D62" s="32"/>
      <c r="E62" s="33"/>
      <c r="F62" s="35">
        <f>SUM(F12:F61)</f>
        <v>153943</v>
      </c>
      <c r="G62" s="34">
        <f>E73</f>
        <v>1.6</v>
      </c>
      <c r="H62" s="35">
        <f>SUM(H12:H61)</f>
        <v>244208.80000000002</v>
      </c>
      <c r="I62" s="36"/>
    </row>
    <row r="63" spans="2:9" ht="12.75" customHeight="1" x14ac:dyDescent="0.4">
      <c r="B63" s="37"/>
      <c r="C63" s="123"/>
      <c r="D63" s="123"/>
      <c r="G63" s="38"/>
      <c r="H63" s="39"/>
    </row>
    <row r="64" spans="2:9" ht="12.75" customHeight="1" x14ac:dyDescent="0.4">
      <c r="B64" s="124" t="s">
        <v>10</v>
      </c>
      <c r="C64" s="125"/>
      <c r="D64" s="125"/>
      <c r="E64" s="125"/>
      <c r="F64" s="126"/>
      <c r="G64" s="126"/>
      <c r="H64" s="127"/>
    </row>
    <row r="65" spans="2:9" ht="12.75" customHeight="1" x14ac:dyDescent="0.4">
      <c r="B65" s="40" t="s">
        <v>2</v>
      </c>
      <c r="C65" s="128" t="s">
        <v>3</v>
      </c>
      <c r="D65" s="129"/>
      <c r="E65" s="41" t="s">
        <v>4</v>
      </c>
      <c r="F65" s="42"/>
      <c r="G65" s="43"/>
      <c r="H65" s="44" t="s">
        <v>6</v>
      </c>
    </row>
    <row r="66" spans="2:9" ht="12.75" customHeight="1" x14ac:dyDescent="0.4">
      <c r="B66" s="23">
        <v>1</v>
      </c>
      <c r="C66" s="130" t="s">
        <v>38</v>
      </c>
      <c r="D66" s="122"/>
      <c r="E66" s="12">
        <v>24200</v>
      </c>
      <c r="F66" s="13">
        <f t="shared" ref="F66:F68" si="2">B66*E66</f>
        <v>24200</v>
      </c>
      <c r="G66" s="45">
        <f>E73</f>
        <v>1.6</v>
      </c>
      <c r="H66" s="25">
        <f t="shared" ref="H66:H68" si="3">E66*B66*G66</f>
        <v>38720</v>
      </c>
    </row>
    <row r="67" spans="2:9" ht="12.75" customHeight="1" x14ac:dyDescent="0.4">
      <c r="B67" s="23"/>
      <c r="C67" s="24" t="s">
        <v>57</v>
      </c>
      <c r="D67" s="46"/>
      <c r="E67" s="12">
        <v>10000</v>
      </c>
      <c r="F67" s="13">
        <f t="shared" si="2"/>
        <v>0</v>
      </c>
      <c r="G67" s="45">
        <f>E73</f>
        <v>1.6</v>
      </c>
      <c r="H67" s="25">
        <f t="shared" si="3"/>
        <v>0</v>
      </c>
    </row>
    <row r="68" spans="2:9" ht="12.75" customHeight="1" thickBot="1" x14ac:dyDescent="0.45">
      <c r="B68" s="23">
        <v>600</v>
      </c>
      <c r="C68" s="121" t="s">
        <v>14</v>
      </c>
      <c r="D68" s="122"/>
      <c r="E68" s="12">
        <v>50</v>
      </c>
      <c r="F68" s="13">
        <f t="shared" si="2"/>
        <v>30000</v>
      </c>
      <c r="G68" s="45">
        <f>E73</f>
        <v>1.6</v>
      </c>
      <c r="H68" s="25">
        <f t="shared" si="3"/>
        <v>48000</v>
      </c>
    </row>
    <row r="69" spans="2:9" ht="15.6" thickTop="1" thickBot="1" x14ac:dyDescent="0.55000000000000004">
      <c r="B69" s="37"/>
      <c r="C69" s="123" t="s">
        <v>11</v>
      </c>
      <c r="D69" s="120"/>
      <c r="E69" s="47"/>
      <c r="F69" s="49">
        <f>SUM(F66:F68)</f>
        <v>54200</v>
      </c>
      <c r="G69" s="48"/>
      <c r="H69" s="49">
        <f>SUM(H66:H68)</f>
        <v>86720</v>
      </c>
    </row>
    <row r="70" spans="2:9" ht="12.75" customHeight="1" thickTop="1" thickBot="1" x14ac:dyDescent="0.45">
      <c r="B70" s="37"/>
      <c r="C70" s="116"/>
      <c r="D70" s="116"/>
      <c r="E70" s="50"/>
      <c r="F70" s="51"/>
      <c r="G70" s="52"/>
      <c r="H70" s="53"/>
    </row>
    <row r="71" spans="2:9" ht="15.6" thickTop="1" thickBot="1" x14ac:dyDescent="0.55000000000000004">
      <c r="B71" s="115" t="s">
        <v>12</v>
      </c>
      <c r="C71" s="116"/>
      <c r="D71" s="116"/>
      <c r="E71" s="89"/>
      <c r="F71" s="64">
        <f>F62+F69</f>
        <v>208143</v>
      </c>
      <c r="G71" s="54"/>
      <c r="H71" s="55">
        <f>H62+H69</f>
        <v>330928.80000000005</v>
      </c>
    </row>
    <row r="72" spans="2:9" ht="12.75" customHeight="1" thickTop="1" thickBot="1" x14ac:dyDescent="0.45">
      <c r="B72" s="37"/>
      <c r="C72" s="116"/>
      <c r="D72" s="116"/>
      <c r="E72" s="92"/>
      <c r="F72" s="56"/>
      <c r="G72" s="57"/>
      <c r="H72" s="58"/>
    </row>
    <row r="73" spans="2:9" ht="21.6" customHeight="1" thickBot="1" x14ac:dyDescent="0.6">
      <c r="B73" s="115" t="s">
        <v>8</v>
      </c>
      <c r="C73" s="116"/>
      <c r="D73" s="116"/>
      <c r="E73" s="94">
        <v>1.6</v>
      </c>
      <c r="F73" s="91"/>
      <c r="G73" s="59"/>
      <c r="H73" s="25">
        <f>E73*E71</f>
        <v>0</v>
      </c>
    </row>
    <row r="74" spans="2:9" ht="12.75" customHeight="1" thickBot="1" x14ac:dyDescent="0.45">
      <c r="B74" s="37"/>
      <c r="C74" s="120"/>
      <c r="D74" s="120"/>
      <c r="E74" s="93"/>
      <c r="F74" s="60"/>
      <c r="G74" s="45"/>
      <c r="H74" s="61"/>
    </row>
    <row r="75" spans="2:9" ht="15.6" thickTop="1" thickBot="1" x14ac:dyDescent="0.55000000000000004">
      <c r="B75" s="115" t="s">
        <v>13</v>
      </c>
      <c r="C75" s="116"/>
      <c r="D75" s="116"/>
      <c r="E75" s="62"/>
      <c r="F75" s="90"/>
      <c r="G75" s="63"/>
      <c r="H75" s="64">
        <f>SUM(H70:H74)</f>
        <v>330928.80000000005</v>
      </c>
    </row>
    <row r="76" spans="2:9" ht="12.75" customHeight="1" thickTop="1" x14ac:dyDescent="0.4">
      <c r="B76" s="65"/>
      <c r="C76" s="66"/>
      <c r="D76" s="66"/>
      <c r="E76" s="67"/>
      <c r="F76" s="68"/>
      <c r="G76" s="69"/>
      <c r="H76" s="70"/>
    </row>
    <row r="77" spans="2:9" ht="12.75" customHeight="1" x14ac:dyDescent="0.4">
      <c r="B77" s="71"/>
      <c r="D77" s="72"/>
      <c r="E77" s="117" t="s">
        <v>71</v>
      </c>
      <c r="F77" s="118"/>
      <c r="G77" s="119"/>
      <c r="H77" s="97">
        <f>H75*0.025</f>
        <v>8273.2200000000012</v>
      </c>
      <c r="I77" s="71"/>
    </row>
    <row r="78" spans="2:9" ht="12.75" customHeight="1" x14ac:dyDescent="0.4">
      <c r="B78" s="71"/>
      <c r="D78" s="72"/>
      <c r="E78" s="107" t="s">
        <v>72</v>
      </c>
      <c r="F78" s="108"/>
      <c r="G78" s="108"/>
      <c r="H78" s="98"/>
    </row>
    <row r="79" spans="2:9" ht="12.75" customHeight="1" x14ac:dyDescent="0.4">
      <c r="B79" s="71"/>
      <c r="D79" s="72"/>
      <c r="E79" s="107" t="s">
        <v>73</v>
      </c>
      <c r="F79" s="108"/>
      <c r="G79" s="108"/>
      <c r="H79" s="95">
        <f>F62*0.005</f>
        <v>769.71500000000003</v>
      </c>
    </row>
    <row r="80" spans="2:9" ht="12.75" customHeight="1" x14ac:dyDescent="0.4">
      <c r="B80" s="71"/>
      <c r="D80" s="72"/>
      <c r="E80" s="107" t="s">
        <v>74</v>
      </c>
      <c r="F80" s="108"/>
      <c r="G80" s="109"/>
      <c r="H80" s="99">
        <v>0</v>
      </c>
      <c r="I80" s="71"/>
    </row>
    <row r="81" spans="2:9" ht="12.75" customHeight="1" x14ac:dyDescent="0.4">
      <c r="B81" s="71"/>
      <c r="D81" s="72"/>
      <c r="E81" s="107" t="s">
        <v>75</v>
      </c>
      <c r="F81" s="108"/>
      <c r="G81" s="109"/>
      <c r="H81" s="99">
        <v>0</v>
      </c>
      <c r="I81" s="71"/>
    </row>
    <row r="82" spans="2:9" x14ac:dyDescent="0.4">
      <c r="B82" s="71"/>
      <c r="D82" s="72"/>
      <c r="E82" s="107" t="s">
        <v>76</v>
      </c>
      <c r="F82" s="108"/>
      <c r="G82" s="109"/>
      <c r="H82" s="99">
        <v>7500</v>
      </c>
      <c r="I82" s="71"/>
    </row>
    <row r="83" spans="2:9" x14ac:dyDescent="0.4">
      <c r="B83" s="71"/>
      <c r="D83" s="72"/>
      <c r="E83" s="107" t="s">
        <v>77</v>
      </c>
      <c r="F83" s="108"/>
      <c r="G83" s="109"/>
      <c r="H83" s="102">
        <v>10000</v>
      </c>
    </row>
    <row r="84" spans="2:9" ht="12.6" thickBot="1" x14ac:dyDescent="0.45">
      <c r="B84" s="71"/>
      <c r="D84" s="72"/>
      <c r="E84" s="105"/>
      <c r="F84" s="106"/>
      <c r="G84" s="106"/>
      <c r="H84" s="100"/>
    </row>
    <row r="85" spans="2:9" ht="15.6" thickTop="1" thickBot="1" x14ac:dyDescent="0.55000000000000004">
      <c r="B85" s="73"/>
      <c r="C85" s="22"/>
      <c r="D85" s="74"/>
      <c r="E85" s="107" t="s">
        <v>78</v>
      </c>
      <c r="F85" s="108"/>
      <c r="G85" s="109"/>
      <c r="H85" s="96">
        <f>SUM(H77:H84)</f>
        <v>26542.935000000001</v>
      </c>
    </row>
    <row r="86" spans="2:9" ht="12.9" thickTop="1" thickBot="1" x14ac:dyDescent="0.45">
      <c r="B86" s="75"/>
      <c r="C86" s="76"/>
      <c r="D86" s="76"/>
      <c r="E86" s="113"/>
      <c r="F86" s="106"/>
      <c r="G86" s="114"/>
      <c r="H86" s="101"/>
      <c r="I86" s="71"/>
    </row>
    <row r="87" spans="2:9" ht="15.6" thickTop="1" thickBot="1" x14ac:dyDescent="0.55000000000000004">
      <c r="B87" s="77"/>
      <c r="C87" s="78"/>
      <c r="D87" s="79"/>
      <c r="E87" s="110" t="s">
        <v>58</v>
      </c>
      <c r="F87" s="111"/>
      <c r="G87" s="112"/>
      <c r="H87" s="55">
        <f>H75-F71-H85</f>
        <v>96242.865000000049</v>
      </c>
    </row>
    <row r="92" spans="2:9" x14ac:dyDescent="0.4">
      <c r="D92" s="80"/>
      <c r="E92" s="80"/>
      <c r="F92" s="80"/>
      <c r="G92" s="81"/>
    </row>
    <row r="93" spans="2:9" x14ac:dyDescent="0.4">
      <c r="D93" s="80"/>
      <c r="E93" s="80"/>
      <c r="F93" s="80"/>
      <c r="G93" s="81"/>
    </row>
    <row r="94" spans="2:9" x14ac:dyDescent="0.4">
      <c r="D94" s="80"/>
      <c r="E94" s="80"/>
      <c r="F94" s="80"/>
      <c r="G94" s="81"/>
    </row>
    <row r="95" spans="2:9" x14ac:dyDescent="0.4">
      <c r="D95" s="80"/>
      <c r="E95" s="80"/>
      <c r="F95" s="80"/>
      <c r="G95" s="81"/>
    </row>
    <row r="96" spans="2:9" x14ac:dyDescent="0.4">
      <c r="D96" s="80"/>
      <c r="E96" s="80"/>
      <c r="F96" s="80"/>
      <c r="G96" s="81"/>
    </row>
    <row r="97" spans="4:8" x14ac:dyDescent="0.4">
      <c r="D97" s="80"/>
      <c r="E97" s="80"/>
      <c r="F97" s="80"/>
      <c r="G97" s="81"/>
    </row>
    <row r="98" spans="4:8" x14ac:dyDescent="0.4">
      <c r="D98" s="80"/>
      <c r="E98" s="80"/>
      <c r="F98" s="80"/>
      <c r="G98" s="81"/>
    </row>
    <row r="99" spans="4:8" x14ac:dyDescent="0.4">
      <c r="D99" s="80"/>
      <c r="E99" s="80"/>
      <c r="F99" s="80"/>
      <c r="G99" s="81"/>
    </row>
    <row r="100" spans="4:8" x14ac:dyDescent="0.4">
      <c r="D100" s="80"/>
      <c r="E100" s="80"/>
      <c r="F100" s="80"/>
      <c r="G100" s="81"/>
    </row>
    <row r="101" spans="4:8" x14ac:dyDescent="0.4">
      <c r="D101" s="80"/>
      <c r="E101" s="80"/>
      <c r="F101" s="80"/>
      <c r="G101" s="81"/>
      <c r="H101" s="80"/>
    </row>
    <row r="102" spans="4:8" x14ac:dyDescent="0.4">
      <c r="D102" s="80"/>
      <c r="E102" s="80"/>
      <c r="F102" s="80"/>
      <c r="G102" s="81"/>
    </row>
    <row r="103" spans="4:8" x14ac:dyDescent="0.4">
      <c r="D103" s="80"/>
      <c r="E103" s="80"/>
      <c r="F103" s="80"/>
      <c r="G103" s="81"/>
    </row>
    <row r="104" spans="4:8" x14ac:dyDescent="0.4">
      <c r="D104" s="80"/>
      <c r="E104" s="80"/>
      <c r="F104" s="80"/>
      <c r="G104" s="81"/>
    </row>
    <row r="105" spans="4:8" x14ac:dyDescent="0.4">
      <c r="D105" s="80"/>
      <c r="E105" s="80"/>
      <c r="F105" s="80"/>
      <c r="G105" s="81"/>
    </row>
    <row r="106" spans="4:8" x14ac:dyDescent="0.4">
      <c r="D106" s="80"/>
      <c r="E106" s="80"/>
      <c r="F106" s="80"/>
      <c r="G106" s="81"/>
    </row>
    <row r="107" spans="4:8" x14ac:dyDescent="0.4">
      <c r="D107" s="80"/>
      <c r="E107" s="80"/>
      <c r="F107" s="80"/>
      <c r="G107" s="81"/>
    </row>
    <row r="108" spans="4:8" x14ac:dyDescent="0.4">
      <c r="D108" s="80"/>
      <c r="E108" s="80"/>
      <c r="F108" s="80"/>
      <c r="G108" s="81"/>
    </row>
    <row r="109" spans="4:8" x14ac:dyDescent="0.4">
      <c r="D109" s="80"/>
      <c r="E109" s="80"/>
      <c r="F109" s="80"/>
      <c r="G109" s="81"/>
    </row>
    <row r="110" spans="4:8" x14ac:dyDescent="0.4">
      <c r="D110" s="80"/>
      <c r="E110" s="80"/>
      <c r="F110" s="80"/>
      <c r="G110" s="81"/>
    </row>
    <row r="111" spans="4:8" x14ac:dyDescent="0.4">
      <c r="D111" s="80"/>
      <c r="E111" s="80"/>
      <c r="F111" s="80"/>
      <c r="G111" s="81"/>
    </row>
  </sheetData>
  <mergeCells count="24">
    <mergeCell ref="C74:D74"/>
    <mergeCell ref="C11:D11"/>
    <mergeCell ref="C63:D63"/>
    <mergeCell ref="B64:H64"/>
    <mergeCell ref="C65:D65"/>
    <mergeCell ref="C66:D66"/>
    <mergeCell ref="C68:D68"/>
    <mergeCell ref="C69:D69"/>
    <mergeCell ref="C70:D70"/>
    <mergeCell ref="B71:D71"/>
    <mergeCell ref="C72:D72"/>
    <mergeCell ref="B73:D73"/>
    <mergeCell ref="E87:G87"/>
    <mergeCell ref="B75:D75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</mergeCells>
  <printOptions gridLines="1"/>
  <pageMargins left="0.25" right="0.25" top="0.75" bottom="0.75" header="0.3" footer="0.3"/>
  <pageSetup scale="5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A2F9-996B-4B64-8F49-3ECE876A5352}">
  <dimension ref="B2:I110"/>
  <sheetViews>
    <sheetView topLeftCell="A25" workbookViewId="0">
      <selection activeCell="J21" sqref="J21"/>
    </sheetView>
  </sheetViews>
  <sheetFormatPr defaultColWidth="8.83203125" defaultRowHeight="12.3" x14ac:dyDescent="0.4"/>
  <cols>
    <col min="1" max="1" width="3" customWidth="1"/>
    <col min="2" max="2" width="7.83203125" customWidth="1"/>
    <col min="3" max="3" width="51.1640625" customWidth="1"/>
    <col min="4" max="4" width="5.1640625" customWidth="1"/>
    <col min="5" max="5" width="14.71875" customWidth="1"/>
    <col min="6" max="6" width="17.1640625" customWidth="1"/>
    <col min="7" max="7" width="8.71875" style="10" customWidth="1"/>
    <col min="8" max="8" width="17.27734375" customWidth="1"/>
  </cols>
  <sheetData>
    <row r="2" spans="2:8" x14ac:dyDescent="0.4">
      <c r="D2" s="3"/>
      <c r="E2" s="3"/>
      <c r="F2" s="3"/>
      <c r="G2" s="9"/>
    </row>
    <row r="4" spans="2:8" x14ac:dyDescent="0.4">
      <c r="D4" s="3"/>
      <c r="E4" s="4"/>
      <c r="F4" s="4"/>
      <c r="G4" s="11"/>
    </row>
    <row r="6" spans="2:8" x14ac:dyDescent="0.4">
      <c r="B6" s="14" t="s">
        <v>0</v>
      </c>
      <c r="C6" s="103" t="s">
        <v>82</v>
      </c>
      <c r="E6" s="14" t="s">
        <v>7</v>
      </c>
      <c r="F6" s="14"/>
      <c r="G6" s="16"/>
      <c r="H6" s="17">
        <f ca="1">TODAY()</f>
        <v>45288</v>
      </c>
    </row>
    <row r="7" spans="2:8" x14ac:dyDescent="0.4">
      <c r="B7" s="14"/>
      <c r="C7" s="18"/>
      <c r="E7" s="14"/>
      <c r="F7" s="14"/>
      <c r="G7" s="16"/>
      <c r="H7" s="18"/>
    </row>
    <row r="8" spans="2:8" x14ac:dyDescent="0.4">
      <c r="B8" s="14" t="s">
        <v>1</v>
      </c>
      <c r="C8" s="15" t="s">
        <v>15</v>
      </c>
      <c r="E8" s="14" t="s">
        <v>9</v>
      </c>
      <c r="F8" s="14"/>
      <c r="G8" s="16"/>
      <c r="H8" s="17"/>
    </row>
    <row r="9" spans="2:8" x14ac:dyDescent="0.4">
      <c r="B9" s="19"/>
      <c r="C9" s="20"/>
      <c r="E9" s="14"/>
      <c r="F9" s="14"/>
      <c r="G9" s="16"/>
    </row>
    <row r="10" spans="2:8" ht="12.6" thickBot="1" x14ac:dyDescent="0.45">
      <c r="B10" s="19"/>
      <c r="E10" s="82" t="s">
        <v>68</v>
      </c>
      <c r="F10" s="82" t="s">
        <v>68</v>
      </c>
      <c r="G10" s="21"/>
      <c r="H10" s="83" t="s">
        <v>68</v>
      </c>
    </row>
    <row r="11" spans="2:8" s="88" customFormat="1" ht="25.15" customHeight="1" x14ac:dyDescent="0.4">
      <c r="B11" s="84" t="s">
        <v>2</v>
      </c>
      <c r="C11" s="131" t="s">
        <v>3</v>
      </c>
      <c r="D11" s="132"/>
      <c r="E11" s="85" t="s">
        <v>67</v>
      </c>
      <c r="F11" s="85" t="s">
        <v>69</v>
      </c>
      <c r="G11" s="86" t="s">
        <v>66</v>
      </c>
      <c r="H11" s="87" t="s">
        <v>70</v>
      </c>
    </row>
    <row r="12" spans="2:8" ht="12.75" customHeight="1" x14ac:dyDescent="0.4">
      <c r="B12" s="23">
        <v>1</v>
      </c>
      <c r="C12" s="24" t="s">
        <v>59</v>
      </c>
      <c r="D12" s="5"/>
      <c r="E12" s="12">
        <v>9200</v>
      </c>
      <c r="F12" s="13">
        <f>B12*E12</f>
        <v>9200</v>
      </c>
      <c r="G12" s="8">
        <f>E72</f>
        <v>1.6</v>
      </c>
      <c r="H12" s="25">
        <f>F12*G12</f>
        <v>14720</v>
      </c>
    </row>
    <row r="13" spans="2:8" x14ac:dyDescent="0.4">
      <c r="B13" s="23">
        <v>1</v>
      </c>
      <c r="C13" s="24" t="s">
        <v>42</v>
      </c>
      <c r="D13" s="5"/>
      <c r="E13" s="12">
        <v>3625</v>
      </c>
      <c r="F13" s="13">
        <f t="shared" ref="F13:F60" si="0">B13*E13</f>
        <v>3625</v>
      </c>
      <c r="G13" s="8">
        <f>E72</f>
        <v>1.6</v>
      </c>
      <c r="H13" s="25">
        <f t="shared" ref="H13:H60" si="1">F13*G13</f>
        <v>5800</v>
      </c>
    </row>
    <row r="14" spans="2:8" x14ac:dyDescent="0.4">
      <c r="B14" s="23"/>
      <c r="C14" s="24" t="s">
        <v>65</v>
      </c>
      <c r="D14" s="5"/>
      <c r="E14" s="12">
        <v>1788</v>
      </c>
      <c r="F14" s="13">
        <f t="shared" si="0"/>
        <v>0</v>
      </c>
      <c r="G14" s="8">
        <f>E72</f>
        <v>1.6</v>
      </c>
      <c r="H14" s="25">
        <f t="shared" si="1"/>
        <v>0</v>
      </c>
    </row>
    <row r="15" spans="2:8" x14ac:dyDescent="0.4">
      <c r="B15" s="23"/>
      <c r="C15" s="24" t="s">
        <v>61</v>
      </c>
      <c r="D15" s="5"/>
      <c r="E15" s="12">
        <v>3500</v>
      </c>
      <c r="F15" s="13">
        <f t="shared" si="0"/>
        <v>0</v>
      </c>
      <c r="G15" s="8">
        <f>E72</f>
        <v>1.6</v>
      </c>
      <c r="H15" s="25">
        <f t="shared" si="1"/>
        <v>0</v>
      </c>
    </row>
    <row r="16" spans="2:8" x14ac:dyDescent="0.4">
      <c r="B16" s="23"/>
      <c r="C16" s="24" t="s">
        <v>62</v>
      </c>
      <c r="D16" s="5"/>
      <c r="E16" s="12">
        <v>2200</v>
      </c>
      <c r="F16" s="13">
        <f t="shared" si="0"/>
        <v>0</v>
      </c>
      <c r="G16" s="8">
        <f>E72</f>
        <v>1.6</v>
      </c>
      <c r="H16" s="25">
        <f t="shared" si="1"/>
        <v>0</v>
      </c>
    </row>
    <row r="17" spans="2:8" x14ac:dyDescent="0.4">
      <c r="B17" s="23">
        <v>1</v>
      </c>
      <c r="C17" s="26" t="s">
        <v>16</v>
      </c>
      <c r="D17" s="5"/>
      <c r="E17" s="12">
        <v>7000</v>
      </c>
      <c r="F17" s="13">
        <f t="shared" si="0"/>
        <v>7000</v>
      </c>
      <c r="G17" s="8">
        <f>E72</f>
        <v>1.6</v>
      </c>
      <c r="H17" s="25">
        <f t="shared" si="1"/>
        <v>11200</v>
      </c>
    </row>
    <row r="18" spans="2:8" x14ac:dyDescent="0.4">
      <c r="B18" s="23"/>
      <c r="C18" s="2" t="s">
        <v>56</v>
      </c>
      <c r="D18" s="6"/>
      <c r="E18" s="12">
        <v>23100</v>
      </c>
      <c r="F18" s="13">
        <f t="shared" si="0"/>
        <v>0</v>
      </c>
      <c r="G18" s="8">
        <f>E72</f>
        <v>1.6</v>
      </c>
      <c r="H18" s="25">
        <f t="shared" si="1"/>
        <v>0</v>
      </c>
    </row>
    <row r="19" spans="2:8" x14ac:dyDescent="0.4">
      <c r="B19" s="23">
        <v>1</v>
      </c>
      <c r="C19" s="2" t="s">
        <v>55</v>
      </c>
      <c r="D19" s="6"/>
      <c r="E19" s="12">
        <v>51000</v>
      </c>
      <c r="F19" s="13">
        <f t="shared" si="0"/>
        <v>51000</v>
      </c>
      <c r="G19" s="8">
        <f>E72</f>
        <v>1.6</v>
      </c>
      <c r="H19" s="25">
        <f t="shared" si="1"/>
        <v>81600</v>
      </c>
    </row>
    <row r="20" spans="2:8" x14ac:dyDescent="0.4">
      <c r="B20" s="23">
        <v>1</v>
      </c>
      <c r="C20" s="1" t="s">
        <v>30</v>
      </c>
      <c r="D20" s="6"/>
      <c r="E20" s="12">
        <v>1318</v>
      </c>
      <c r="F20" s="13">
        <f t="shared" si="0"/>
        <v>1318</v>
      </c>
      <c r="G20" s="8">
        <f>E72</f>
        <v>1.6</v>
      </c>
      <c r="H20" s="25">
        <f t="shared" si="1"/>
        <v>2108.8000000000002</v>
      </c>
    </row>
    <row r="21" spans="2:8" x14ac:dyDescent="0.4">
      <c r="B21" s="23">
        <v>1</v>
      </c>
      <c r="C21" s="1" t="s">
        <v>17</v>
      </c>
      <c r="D21" s="5"/>
      <c r="E21" s="12">
        <v>7000</v>
      </c>
      <c r="F21" s="13">
        <f t="shared" si="0"/>
        <v>7000</v>
      </c>
      <c r="G21" s="8">
        <v>1.4</v>
      </c>
      <c r="H21" s="25">
        <f t="shared" si="1"/>
        <v>9800</v>
      </c>
    </row>
    <row r="22" spans="2:8" x14ac:dyDescent="0.4">
      <c r="B22" s="23">
        <v>1</v>
      </c>
      <c r="C22" s="1" t="s">
        <v>18</v>
      </c>
      <c r="D22" s="5"/>
      <c r="E22" s="12">
        <v>18000</v>
      </c>
      <c r="F22" s="13">
        <f t="shared" si="0"/>
        <v>18000</v>
      </c>
      <c r="G22" s="8">
        <f>E72</f>
        <v>1.6</v>
      </c>
      <c r="H22" s="25">
        <f t="shared" si="1"/>
        <v>28800</v>
      </c>
    </row>
    <row r="23" spans="2:8" x14ac:dyDescent="0.4">
      <c r="B23" s="23">
        <v>1</v>
      </c>
      <c r="C23" s="1" t="s">
        <v>24</v>
      </c>
      <c r="D23" s="6"/>
      <c r="E23" s="12">
        <v>1800</v>
      </c>
      <c r="F23" s="13">
        <f t="shared" si="0"/>
        <v>1800</v>
      </c>
      <c r="G23" s="8">
        <f>E72</f>
        <v>1.6</v>
      </c>
      <c r="H23" s="25">
        <f t="shared" si="1"/>
        <v>2880</v>
      </c>
    </row>
    <row r="24" spans="2:8" x14ac:dyDescent="0.4">
      <c r="B24" s="23">
        <v>1</v>
      </c>
      <c r="C24" s="1" t="s">
        <v>19</v>
      </c>
      <c r="D24" s="5"/>
      <c r="E24" s="12">
        <v>6043</v>
      </c>
      <c r="F24" s="13">
        <f t="shared" si="0"/>
        <v>6043</v>
      </c>
      <c r="G24" s="8">
        <f>E72</f>
        <v>1.6</v>
      </c>
      <c r="H24" s="25">
        <f t="shared" si="1"/>
        <v>9668.8000000000011</v>
      </c>
    </row>
    <row r="25" spans="2:8" x14ac:dyDescent="0.4">
      <c r="B25" s="23">
        <v>1</v>
      </c>
      <c r="C25" s="1" t="s">
        <v>20</v>
      </c>
      <c r="D25" s="5"/>
      <c r="E25" s="12">
        <v>2000</v>
      </c>
      <c r="F25" s="13">
        <f t="shared" si="0"/>
        <v>2000</v>
      </c>
      <c r="G25" s="8">
        <f>E72</f>
        <v>1.6</v>
      </c>
      <c r="H25" s="25">
        <f t="shared" si="1"/>
        <v>3200</v>
      </c>
    </row>
    <row r="26" spans="2:8" x14ac:dyDescent="0.4">
      <c r="B26" s="23">
        <v>1</v>
      </c>
      <c r="C26" s="1" t="s">
        <v>21</v>
      </c>
      <c r="D26" s="6"/>
      <c r="E26" s="12">
        <v>27500</v>
      </c>
      <c r="F26" s="13">
        <f t="shared" si="0"/>
        <v>27500</v>
      </c>
      <c r="G26" s="8">
        <f>E72</f>
        <v>1.6</v>
      </c>
      <c r="H26" s="25">
        <f t="shared" si="1"/>
        <v>44000</v>
      </c>
    </row>
    <row r="27" spans="2:8" x14ac:dyDescent="0.4">
      <c r="B27" s="23">
        <v>1</v>
      </c>
      <c r="C27" s="1" t="s">
        <v>49</v>
      </c>
      <c r="D27" s="6"/>
      <c r="E27" s="12">
        <v>3000</v>
      </c>
      <c r="F27" s="13">
        <f t="shared" si="0"/>
        <v>3000</v>
      </c>
      <c r="G27" s="8">
        <f>E72</f>
        <v>1.6</v>
      </c>
      <c r="H27" s="25">
        <f t="shared" si="1"/>
        <v>4800</v>
      </c>
    </row>
    <row r="28" spans="2:8" x14ac:dyDescent="0.4">
      <c r="B28" s="23"/>
      <c r="C28" s="2" t="s">
        <v>45</v>
      </c>
      <c r="D28" s="7"/>
      <c r="E28" s="12">
        <v>15750</v>
      </c>
      <c r="F28" s="13">
        <f t="shared" si="0"/>
        <v>0</v>
      </c>
      <c r="G28" s="8">
        <f>E72</f>
        <v>1.6</v>
      </c>
      <c r="H28" s="25">
        <f t="shared" si="1"/>
        <v>0</v>
      </c>
    </row>
    <row r="29" spans="2:8" x14ac:dyDescent="0.4">
      <c r="B29" s="23">
        <v>2</v>
      </c>
      <c r="C29" s="1" t="s">
        <v>23</v>
      </c>
      <c r="D29" s="5"/>
      <c r="E29" s="12">
        <v>17500</v>
      </c>
      <c r="F29" s="13">
        <f t="shared" si="0"/>
        <v>35000</v>
      </c>
      <c r="G29" s="8">
        <f>E72</f>
        <v>1.6</v>
      </c>
      <c r="H29" s="25">
        <f t="shared" si="1"/>
        <v>56000</v>
      </c>
    </row>
    <row r="30" spans="2:8" x14ac:dyDescent="0.4">
      <c r="B30" s="23"/>
      <c r="C30" s="2" t="s">
        <v>47</v>
      </c>
      <c r="D30" s="7"/>
      <c r="E30" s="12">
        <v>4200</v>
      </c>
      <c r="F30" s="13">
        <f t="shared" si="0"/>
        <v>0</v>
      </c>
      <c r="G30" s="8">
        <f>E72</f>
        <v>1.6</v>
      </c>
      <c r="H30" s="25">
        <f t="shared" si="1"/>
        <v>0</v>
      </c>
    </row>
    <row r="31" spans="2:8" x14ac:dyDescent="0.4">
      <c r="B31" s="23">
        <v>1</v>
      </c>
      <c r="C31" s="1" t="s">
        <v>43</v>
      </c>
      <c r="D31" s="6"/>
      <c r="E31" s="12">
        <v>3500</v>
      </c>
      <c r="F31" s="13">
        <f t="shared" si="0"/>
        <v>3500</v>
      </c>
      <c r="G31" s="8">
        <f>E72</f>
        <v>1.6</v>
      </c>
      <c r="H31" s="25">
        <f t="shared" si="1"/>
        <v>5600</v>
      </c>
    </row>
    <row r="32" spans="2:8" x14ac:dyDescent="0.4">
      <c r="B32" s="23"/>
      <c r="C32" s="2" t="s">
        <v>40</v>
      </c>
      <c r="D32" s="7"/>
      <c r="E32" s="12">
        <v>3480</v>
      </c>
      <c r="F32" s="13">
        <f t="shared" si="0"/>
        <v>0</v>
      </c>
      <c r="G32" s="8">
        <f>E72</f>
        <v>1.6</v>
      </c>
      <c r="H32" s="25">
        <f t="shared" si="1"/>
        <v>0</v>
      </c>
    </row>
    <row r="33" spans="2:8" x14ac:dyDescent="0.4">
      <c r="B33" s="23"/>
      <c r="C33" s="1" t="s">
        <v>22</v>
      </c>
      <c r="D33" s="5"/>
      <c r="E33" s="12">
        <v>7300</v>
      </c>
      <c r="F33" s="13">
        <f t="shared" si="0"/>
        <v>0</v>
      </c>
      <c r="G33" s="8">
        <f>E72</f>
        <v>1.6</v>
      </c>
      <c r="H33" s="25">
        <f t="shared" si="1"/>
        <v>0</v>
      </c>
    </row>
    <row r="34" spans="2:8" x14ac:dyDescent="0.4">
      <c r="B34" s="23">
        <v>1</v>
      </c>
      <c r="C34" s="2" t="s">
        <v>41</v>
      </c>
      <c r="D34" s="5"/>
      <c r="E34" s="12">
        <v>8000</v>
      </c>
      <c r="F34" s="13">
        <f t="shared" si="0"/>
        <v>8000</v>
      </c>
      <c r="G34" s="8">
        <f>E72</f>
        <v>1.6</v>
      </c>
      <c r="H34" s="25">
        <f t="shared" si="1"/>
        <v>12800</v>
      </c>
    </row>
    <row r="35" spans="2:8" x14ac:dyDescent="0.4">
      <c r="B35" s="23"/>
      <c r="C35" s="2" t="s">
        <v>50</v>
      </c>
      <c r="D35" s="6"/>
      <c r="E35" s="12">
        <v>8415</v>
      </c>
      <c r="F35" s="13">
        <f t="shared" si="0"/>
        <v>0</v>
      </c>
      <c r="G35" s="8">
        <f>E72</f>
        <v>1.6</v>
      </c>
      <c r="H35" s="25">
        <f t="shared" si="1"/>
        <v>0</v>
      </c>
    </row>
    <row r="36" spans="2:8" x14ac:dyDescent="0.4">
      <c r="B36" s="23"/>
      <c r="C36" s="1" t="s">
        <v>34</v>
      </c>
      <c r="D36" s="6"/>
      <c r="E36" s="12">
        <v>2065</v>
      </c>
      <c r="F36" s="13">
        <f t="shared" si="0"/>
        <v>0</v>
      </c>
      <c r="G36" s="8">
        <f>E72</f>
        <v>1.6</v>
      </c>
      <c r="H36" s="25">
        <f t="shared" si="1"/>
        <v>0</v>
      </c>
    </row>
    <row r="37" spans="2:8" x14ac:dyDescent="0.4">
      <c r="B37" s="23"/>
      <c r="C37" s="2" t="s">
        <v>35</v>
      </c>
      <c r="D37" s="6"/>
      <c r="E37" s="12"/>
      <c r="F37" s="13">
        <f t="shared" si="0"/>
        <v>0</v>
      </c>
      <c r="G37" s="8">
        <f>E72</f>
        <v>1.6</v>
      </c>
      <c r="H37" s="25">
        <f t="shared" si="1"/>
        <v>0</v>
      </c>
    </row>
    <row r="38" spans="2:8" x14ac:dyDescent="0.4">
      <c r="B38" s="23"/>
      <c r="C38" s="2" t="s">
        <v>64</v>
      </c>
      <c r="D38" s="6"/>
      <c r="E38" s="12">
        <v>2400</v>
      </c>
      <c r="F38" s="13">
        <f t="shared" si="0"/>
        <v>0</v>
      </c>
      <c r="G38" s="8">
        <f>E72</f>
        <v>1.6</v>
      </c>
      <c r="H38" s="25">
        <f t="shared" si="1"/>
        <v>0</v>
      </c>
    </row>
    <row r="39" spans="2:8" x14ac:dyDescent="0.4">
      <c r="B39" s="23"/>
      <c r="C39" s="2" t="s">
        <v>46</v>
      </c>
      <c r="D39" s="6"/>
      <c r="E39" s="12">
        <v>29750</v>
      </c>
      <c r="F39" s="13">
        <f t="shared" si="0"/>
        <v>0</v>
      </c>
      <c r="G39" s="8">
        <f>E72</f>
        <v>1.6</v>
      </c>
      <c r="H39" s="25">
        <f t="shared" si="1"/>
        <v>0</v>
      </c>
    </row>
    <row r="40" spans="2:8" x14ac:dyDescent="0.4">
      <c r="B40" s="23"/>
      <c r="C40" s="2" t="s">
        <v>36</v>
      </c>
      <c r="D40" s="6"/>
      <c r="E40" s="12">
        <v>3500</v>
      </c>
      <c r="F40" s="13">
        <f t="shared" si="0"/>
        <v>0</v>
      </c>
      <c r="G40" s="8">
        <f>E72</f>
        <v>1.6</v>
      </c>
      <c r="H40" s="25">
        <f t="shared" si="1"/>
        <v>0</v>
      </c>
    </row>
    <row r="41" spans="2:8" x14ac:dyDescent="0.4">
      <c r="B41" s="23"/>
      <c r="C41" s="2" t="s">
        <v>37</v>
      </c>
      <c r="D41" s="6"/>
      <c r="E41" s="12">
        <v>7200</v>
      </c>
      <c r="F41" s="13">
        <f t="shared" si="0"/>
        <v>0</v>
      </c>
      <c r="G41" s="8">
        <f>E72</f>
        <v>1.6</v>
      </c>
      <c r="H41" s="25">
        <f t="shared" si="1"/>
        <v>0</v>
      </c>
    </row>
    <row r="42" spans="2:8" x14ac:dyDescent="0.4">
      <c r="B42" s="23"/>
      <c r="C42" s="2" t="s">
        <v>39</v>
      </c>
      <c r="D42" s="6"/>
      <c r="E42" s="12">
        <v>1300</v>
      </c>
      <c r="F42" s="13">
        <f t="shared" si="0"/>
        <v>0</v>
      </c>
      <c r="G42" s="8">
        <f>E72</f>
        <v>1.6</v>
      </c>
      <c r="H42" s="25">
        <f t="shared" si="1"/>
        <v>0</v>
      </c>
    </row>
    <row r="43" spans="2:8" x14ac:dyDescent="0.4">
      <c r="B43" s="23"/>
      <c r="C43" s="2" t="s">
        <v>51</v>
      </c>
      <c r="D43" s="6"/>
      <c r="E43" s="12">
        <v>1500</v>
      </c>
      <c r="F43" s="13">
        <f t="shared" si="0"/>
        <v>0</v>
      </c>
      <c r="G43" s="8">
        <f>E72</f>
        <v>1.6</v>
      </c>
      <c r="H43" s="25">
        <f t="shared" si="1"/>
        <v>0</v>
      </c>
    </row>
    <row r="44" spans="2:8" x14ac:dyDescent="0.4">
      <c r="B44" s="23">
        <v>1</v>
      </c>
      <c r="C44" s="2" t="s">
        <v>52</v>
      </c>
      <c r="D44" s="6"/>
      <c r="E44" s="12">
        <v>500</v>
      </c>
      <c r="F44" s="13">
        <f t="shared" si="0"/>
        <v>500</v>
      </c>
      <c r="G44" s="8">
        <f>E72</f>
        <v>1.6</v>
      </c>
      <c r="H44" s="25">
        <f t="shared" si="1"/>
        <v>800</v>
      </c>
    </row>
    <row r="45" spans="2:8" x14ac:dyDescent="0.4">
      <c r="B45" s="23">
        <v>1</v>
      </c>
      <c r="C45" s="2" t="s">
        <v>53</v>
      </c>
      <c r="D45" s="7"/>
      <c r="E45" s="12">
        <v>4000</v>
      </c>
      <c r="F45" s="13">
        <f t="shared" si="0"/>
        <v>4000</v>
      </c>
      <c r="G45" s="8">
        <f>E72</f>
        <v>1.6</v>
      </c>
      <c r="H45" s="25">
        <f t="shared" si="1"/>
        <v>6400</v>
      </c>
    </row>
    <row r="46" spans="2:8" x14ac:dyDescent="0.4">
      <c r="B46" s="23"/>
      <c r="C46" s="1" t="s">
        <v>44</v>
      </c>
      <c r="D46" s="6"/>
      <c r="E46" s="12">
        <v>1915</v>
      </c>
      <c r="F46" s="13">
        <f t="shared" si="0"/>
        <v>0</v>
      </c>
      <c r="G46" s="8">
        <f>E72</f>
        <v>1.6</v>
      </c>
      <c r="H46" s="25">
        <f t="shared" si="1"/>
        <v>0</v>
      </c>
    </row>
    <row r="47" spans="2:8" x14ac:dyDescent="0.4">
      <c r="B47" s="23">
        <v>16</v>
      </c>
      <c r="C47" s="1" t="s">
        <v>31</v>
      </c>
      <c r="D47" s="6"/>
      <c r="E47" s="12">
        <v>86</v>
      </c>
      <c r="F47" s="13">
        <f t="shared" si="0"/>
        <v>1376</v>
      </c>
      <c r="G47" s="8">
        <f>E72</f>
        <v>1.6</v>
      </c>
      <c r="H47" s="25">
        <f t="shared" si="1"/>
        <v>2201.6</v>
      </c>
    </row>
    <row r="48" spans="2:8" x14ac:dyDescent="0.4">
      <c r="B48" s="23">
        <v>16</v>
      </c>
      <c r="C48" s="1" t="s">
        <v>32</v>
      </c>
      <c r="D48" s="6"/>
      <c r="E48" s="12">
        <v>21.5</v>
      </c>
      <c r="F48" s="13">
        <f t="shared" si="0"/>
        <v>344</v>
      </c>
      <c r="G48" s="8">
        <f>E72</f>
        <v>1.6</v>
      </c>
      <c r="H48" s="25">
        <f t="shared" si="1"/>
        <v>550.4</v>
      </c>
    </row>
    <row r="49" spans="2:9" x14ac:dyDescent="0.4">
      <c r="B49" s="23">
        <v>1</v>
      </c>
      <c r="C49" s="1" t="s">
        <v>33</v>
      </c>
      <c r="D49" s="6"/>
      <c r="E49" s="12">
        <v>50</v>
      </c>
      <c r="F49" s="13">
        <f t="shared" si="0"/>
        <v>50</v>
      </c>
      <c r="G49" s="8">
        <f>E72</f>
        <v>1.6</v>
      </c>
      <c r="H49" s="25">
        <f t="shared" si="1"/>
        <v>80</v>
      </c>
    </row>
    <row r="50" spans="2:9" x14ac:dyDescent="0.4">
      <c r="B50" s="23">
        <v>1</v>
      </c>
      <c r="C50" s="2" t="s">
        <v>79</v>
      </c>
      <c r="D50" s="6"/>
      <c r="E50" s="12">
        <v>400</v>
      </c>
      <c r="F50" s="13">
        <f t="shared" si="0"/>
        <v>400</v>
      </c>
      <c r="G50" s="8">
        <f>E72</f>
        <v>1.6</v>
      </c>
      <c r="H50" s="25">
        <f t="shared" si="1"/>
        <v>640</v>
      </c>
    </row>
    <row r="51" spans="2:9" x14ac:dyDescent="0.4">
      <c r="B51" s="23">
        <v>1</v>
      </c>
      <c r="C51" s="2" t="s">
        <v>80</v>
      </c>
      <c r="D51" s="6"/>
      <c r="E51" s="12">
        <v>2200</v>
      </c>
      <c r="F51" s="13">
        <f t="shared" si="0"/>
        <v>2200</v>
      </c>
      <c r="G51" s="8">
        <f>E72</f>
        <v>1.6</v>
      </c>
      <c r="H51" s="25">
        <f t="shared" si="1"/>
        <v>3520</v>
      </c>
    </row>
    <row r="52" spans="2:9" x14ac:dyDescent="0.4">
      <c r="B52" s="23">
        <v>1</v>
      </c>
      <c r="C52" s="1" t="s">
        <v>26</v>
      </c>
      <c r="D52" s="6"/>
      <c r="E52" s="12">
        <v>3260</v>
      </c>
      <c r="F52" s="13">
        <f t="shared" si="0"/>
        <v>3260</v>
      </c>
      <c r="G52" s="104">
        <f>E72</f>
        <v>1.6</v>
      </c>
      <c r="H52" s="25">
        <f t="shared" si="1"/>
        <v>5216</v>
      </c>
    </row>
    <row r="53" spans="2:9" x14ac:dyDescent="0.4">
      <c r="B53" s="23">
        <v>1</v>
      </c>
      <c r="C53" s="1" t="s">
        <v>27</v>
      </c>
      <c r="D53" s="6"/>
      <c r="E53" s="12">
        <v>2744</v>
      </c>
      <c r="F53" s="13">
        <f t="shared" si="0"/>
        <v>2744</v>
      </c>
      <c r="G53" s="8">
        <f>E72</f>
        <v>1.6</v>
      </c>
      <c r="H53" s="25">
        <f t="shared" si="1"/>
        <v>4390.4000000000005</v>
      </c>
    </row>
    <row r="54" spans="2:9" x14ac:dyDescent="0.4">
      <c r="B54" s="23">
        <v>2</v>
      </c>
      <c r="C54" s="1" t="s">
        <v>28</v>
      </c>
      <c r="D54" s="6"/>
      <c r="E54" s="12">
        <v>4142</v>
      </c>
      <c r="F54" s="13">
        <f t="shared" si="0"/>
        <v>8284</v>
      </c>
      <c r="G54" s="8">
        <f>E72</f>
        <v>1.6</v>
      </c>
      <c r="H54" s="25">
        <f t="shared" si="1"/>
        <v>13254.400000000001</v>
      </c>
    </row>
    <row r="55" spans="2:9" x14ac:dyDescent="0.4">
      <c r="B55" s="23"/>
      <c r="C55" s="2" t="s">
        <v>54</v>
      </c>
      <c r="D55" s="6"/>
      <c r="E55" s="12">
        <v>2862</v>
      </c>
      <c r="F55" s="13">
        <f t="shared" si="0"/>
        <v>0</v>
      </c>
      <c r="G55" s="8">
        <f>E72</f>
        <v>1.6</v>
      </c>
      <c r="H55" s="25">
        <f t="shared" si="1"/>
        <v>0</v>
      </c>
    </row>
    <row r="56" spans="2:9" x14ac:dyDescent="0.4">
      <c r="B56" s="23">
        <v>1</v>
      </c>
      <c r="C56" s="1" t="s">
        <v>29</v>
      </c>
      <c r="D56" s="6"/>
      <c r="E56" s="12">
        <v>3457</v>
      </c>
      <c r="F56" s="13">
        <f t="shared" si="0"/>
        <v>3457</v>
      </c>
      <c r="G56" s="8">
        <f>E72</f>
        <v>1.6</v>
      </c>
      <c r="H56" s="25">
        <f t="shared" si="1"/>
        <v>5531.2000000000007</v>
      </c>
    </row>
    <row r="57" spans="2:9" x14ac:dyDescent="0.4">
      <c r="B57" s="23">
        <v>1</v>
      </c>
      <c r="C57" s="1" t="s">
        <v>25</v>
      </c>
      <c r="D57" s="6"/>
      <c r="E57" s="12">
        <v>658</v>
      </c>
      <c r="F57" s="13">
        <f t="shared" si="0"/>
        <v>658</v>
      </c>
      <c r="G57" s="8">
        <f>E72</f>
        <v>1.6</v>
      </c>
      <c r="H57" s="25">
        <f t="shared" si="1"/>
        <v>1052.8</v>
      </c>
    </row>
    <row r="58" spans="2:9" x14ac:dyDescent="0.4">
      <c r="B58" s="23"/>
      <c r="C58" s="1" t="s">
        <v>60</v>
      </c>
      <c r="D58" s="6"/>
      <c r="E58" s="12">
        <v>1598.5</v>
      </c>
      <c r="F58" s="13">
        <f t="shared" si="0"/>
        <v>0</v>
      </c>
      <c r="G58" s="8">
        <f>E72</f>
        <v>1.6</v>
      </c>
      <c r="H58" s="25">
        <f t="shared" si="1"/>
        <v>0</v>
      </c>
    </row>
    <row r="59" spans="2:9" ht="15.75" customHeight="1" x14ac:dyDescent="0.4">
      <c r="B59" s="23"/>
      <c r="C59" s="1" t="s">
        <v>48</v>
      </c>
      <c r="D59" s="6"/>
      <c r="E59" s="12">
        <v>400</v>
      </c>
      <c r="F59" s="13">
        <f t="shared" si="0"/>
        <v>0</v>
      </c>
      <c r="G59" s="8">
        <f>E72</f>
        <v>1.6</v>
      </c>
      <c r="H59" s="25">
        <f t="shared" si="1"/>
        <v>0</v>
      </c>
    </row>
    <row r="60" spans="2:9" ht="12.75" customHeight="1" thickBot="1" x14ac:dyDescent="0.45">
      <c r="B60" s="23"/>
      <c r="C60" s="27" t="s">
        <v>63</v>
      </c>
      <c r="D60" s="28"/>
      <c r="E60" s="12">
        <v>4460</v>
      </c>
      <c r="F60" s="13">
        <f t="shared" si="0"/>
        <v>0</v>
      </c>
      <c r="G60" s="29">
        <f>E72</f>
        <v>1.6</v>
      </c>
      <c r="H60" s="25">
        <f t="shared" si="1"/>
        <v>0</v>
      </c>
    </row>
    <row r="61" spans="2:9" ht="15.6" thickTop="1" thickBot="1" x14ac:dyDescent="0.55000000000000004">
      <c r="B61" s="30" t="s">
        <v>5</v>
      </c>
      <c r="C61" s="31"/>
      <c r="D61" s="32"/>
      <c r="E61" s="33"/>
      <c r="F61" s="35">
        <f>SUM(F12:F60)</f>
        <v>211259</v>
      </c>
      <c r="G61" s="34">
        <f>E72</f>
        <v>1.6</v>
      </c>
      <c r="H61" s="35">
        <f>SUM(H12:H60)</f>
        <v>336614.40000000002</v>
      </c>
      <c r="I61" s="36"/>
    </row>
    <row r="62" spans="2:9" ht="12.75" customHeight="1" x14ac:dyDescent="0.4">
      <c r="B62" s="37"/>
      <c r="C62" s="123"/>
      <c r="D62" s="123"/>
      <c r="G62" s="38"/>
      <c r="H62" s="39"/>
    </row>
    <row r="63" spans="2:9" ht="12.75" customHeight="1" x14ac:dyDescent="0.4">
      <c r="B63" s="124" t="s">
        <v>10</v>
      </c>
      <c r="C63" s="125"/>
      <c r="D63" s="125"/>
      <c r="E63" s="125"/>
      <c r="F63" s="126"/>
      <c r="G63" s="126"/>
      <c r="H63" s="127"/>
    </row>
    <row r="64" spans="2:9" ht="12.75" customHeight="1" x14ac:dyDescent="0.4">
      <c r="B64" s="40" t="s">
        <v>2</v>
      </c>
      <c r="C64" s="128" t="s">
        <v>3</v>
      </c>
      <c r="D64" s="129"/>
      <c r="E64" s="41" t="s">
        <v>4</v>
      </c>
      <c r="F64" s="42"/>
      <c r="G64" s="43"/>
      <c r="H64" s="44" t="s">
        <v>6</v>
      </c>
    </row>
    <row r="65" spans="2:9" ht="12.75" customHeight="1" x14ac:dyDescent="0.4">
      <c r="B65" s="23">
        <v>1</v>
      </c>
      <c r="C65" s="130" t="s">
        <v>38</v>
      </c>
      <c r="D65" s="122"/>
      <c r="E65" s="12">
        <v>25882</v>
      </c>
      <c r="F65" s="13">
        <f t="shared" ref="F65:F67" si="2">B65*E65</f>
        <v>25882</v>
      </c>
      <c r="G65" s="45">
        <f>E72</f>
        <v>1.6</v>
      </c>
      <c r="H65" s="25">
        <f t="shared" ref="H65:H67" si="3">E65*B65*G65</f>
        <v>41411.200000000004</v>
      </c>
    </row>
    <row r="66" spans="2:9" ht="12.75" customHeight="1" x14ac:dyDescent="0.4">
      <c r="B66" s="23">
        <v>1</v>
      </c>
      <c r="C66" s="24" t="s">
        <v>57</v>
      </c>
      <c r="D66" s="46"/>
      <c r="E66" s="12">
        <v>12180</v>
      </c>
      <c r="F66" s="13">
        <f t="shared" si="2"/>
        <v>12180</v>
      </c>
      <c r="G66" s="45">
        <f>E72</f>
        <v>1.6</v>
      </c>
      <c r="H66" s="25">
        <f t="shared" si="3"/>
        <v>19488</v>
      </c>
    </row>
    <row r="67" spans="2:9" ht="12.75" customHeight="1" thickBot="1" x14ac:dyDescent="0.45">
      <c r="B67" s="23">
        <v>1000</v>
      </c>
      <c r="C67" s="121" t="s">
        <v>14</v>
      </c>
      <c r="D67" s="122"/>
      <c r="E67" s="12">
        <v>50</v>
      </c>
      <c r="F67" s="13">
        <f t="shared" si="2"/>
        <v>50000</v>
      </c>
      <c r="G67" s="45">
        <f>E72</f>
        <v>1.6</v>
      </c>
      <c r="H67" s="25">
        <f t="shared" si="3"/>
        <v>80000</v>
      </c>
    </row>
    <row r="68" spans="2:9" ht="15.6" thickTop="1" thickBot="1" x14ac:dyDescent="0.55000000000000004">
      <c r="B68" s="37"/>
      <c r="C68" s="123" t="s">
        <v>11</v>
      </c>
      <c r="D68" s="120"/>
      <c r="E68" s="47"/>
      <c r="F68" s="49">
        <f>SUM(F65:F67)</f>
        <v>88062</v>
      </c>
      <c r="G68" s="48"/>
      <c r="H68" s="49">
        <f>SUM(H65:H67)</f>
        <v>140899.20000000001</v>
      </c>
    </row>
    <row r="69" spans="2:9" ht="12.75" customHeight="1" thickTop="1" thickBot="1" x14ac:dyDescent="0.45">
      <c r="B69" s="37"/>
      <c r="C69" s="116"/>
      <c r="D69" s="116"/>
      <c r="E69" s="50"/>
      <c r="F69" s="51"/>
      <c r="G69" s="52"/>
      <c r="H69" s="53"/>
    </row>
    <row r="70" spans="2:9" ht="15.6" thickTop="1" thickBot="1" x14ac:dyDescent="0.55000000000000004">
      <c r="B70" s="115" t="s">
        <v>12</v>
      </c>
      <c r="C70" s="116"/>
      <c r="D70" s="116"/>
      <c r="E70" s="89"/>
      <c r="F70" s="64">
        <f>F61+F68</f>
        <v>299321</v>
      </c>
      <c r="G70" s="54"/>
      <c r="H70" s="55">
        <f>H61+H68</f>
        <v>477513.60000000003</v>
      </c>
    </row>
    <row r="71" spans="2:9" ht="12.75" customHeight="1" thickTop="1" thickBot="1" x14ac:dyDescent="0.45">
      <c r="B71" s="37"/>
      <c r="C71" s="116"/>
      <c r="D71" s="116"/>
      <c r="E71" s="92"/>
      <c r="F71" s="56"/>
      <c r="G71" s="57"/>
      <c r="H71" s="58"/>
    </row>
    <row r="72" spans="2:9" ht="21.6" customHeight="1" thickBot="1" x14ac:dyDescent="0.6">
      <c r="B72" s="115" t="s">
        <v>8</v>
      </c>
      <c r="C72" s="116"/>
      <c r="D72" s="116"/>
      <c r="E72" s="94">
        <v>1.6</v>
      </c>
      <c r="F72" s="91"/>
      <c r="G72" s="59"/>
      <c r="H72" s="25">
        <f>E72*E70</f>
        <v>0</v>
      </c>
    </row>
    <row r="73" spans="2:9" ht="12.75" customHeight="1" thickBot="1" x14ac:dyDescent="0.45">
      <c r="B73" s="37"/>
      <c r="C73" s="120"/>
      <c r="D73" s="120"/>
      <c r="E73" s="93"/>
      <c r="F73" s="60"/>
      <c r="G73" s="45"/>
      <c r="H73" s="61"/>
    </row>
    <row r="74" spans="2:9" ht="15.6" thickTop="1" thickBot="1" x14ac:dyDescent="0.55000000000000004">
      <c r="B74" s="115" t="s">
        <v>13</v>
      </c>
      <c r="C74" s="116"/>
      <c r="D74" s="116"/>
      <c r="E74" s="62"/>
      <c r="F74" s="90"/>
      <c r="G74" s="63"/>
      <c r="H74" s="64">
        <f>SUM(H69:H73)</f>
        <v>477513.60000000003</v>
      </c>
    </row>
    <row r="75" spans="2:9" ht="12.75" customHeight="1" thickTop="1" x14ac:dyDescent="0.4">
      <c r="B75" s="65"/>
      <c r="C75" s="66"/>
      <c r="D75" s="66"/>
      <c r="E75" s="67"/>
      <c r="F75" s="68"/>
      <c r="G75" s="69"/>
      <c r="H75" s="70"/>
    </row>
    <row r="76" spans="2:9" ht="12.75" customHeight="1" x14ac:dyDescent="0.4">
      <c r="B76" s="71"/>
      <c r="D76" s="72"/>
      <c r="E76" s="117" t="s">
        <v>71</v>
      </c>
      <c r="F76" s="118"/>
      <c r="G76" s="119"/>
      <c r="H76" s="97">
        <f>H74*0.025</f>
        <v>11937.840000000002</v>
      </c>
      <c r="I76" s="71"/>
    </row>
    <row r="77" spans="2:9" ht="12.75" customHeight="1" x14ac:dyDescent="0.4">
      <c r="B77" s="71"/>
      <c r="D77" s="72"/>
      <c r="E77" s="107" t="s">
        <v>72</v>
      </c>
      <c r="F77" s="108"/>
      <c r="G77" s="108"/>
      <c r="H77" s="98">
        <v>5500</v>
      </c>
    </row>
    <row r="78" spans="2:9" ht="12.75" customHeight="1" x14ac:dyDescent="0.4">
      <c r="B78" s="71"/>
      <c r="D78" s="72"/>
      <c r="E78" s="107" t="s">
        <v>73</v>
      </c>
      <c r="F78" s="108"/>
      <c r="G78" s="108"/>
      <c r="H78" s="95">
        <f>F61*0.005</f>
        <v>1056.2950000000001</v>
      </c>
    </row>
    <row r="79" spans="2:9" ht="12.75" customHeight="1" x14ac:dyDescent="0.4">
      <c r="B79" s="71"/>
      <c r="D79" s="72"/>
      <c r="E79" s="107" t="s">
        <v>74</v>
      </c>
      <c r="F79" s="108"/>
      <c r="G79" s="109"/>
      <c r="H79" s="99">
        <v>0</v>
      </c>
      <c r="I79" s="71"/>
    </row>
    <row r="80" spans="2:9" ht="12.75" customHeight="1" x14ac:dyDescent="0.4">
      <c r="B80" s="71"/>
      <c r="D80" s="72"/>
      <c r="E80" s="107" t="s">
        <v>75</v>
      </c>
      <c r="F80" s="108"/>
      <c r="G80" s="109"/>
      <c r="H80" s="99">
        <v>0</v>
      </c>
      <c r="I80" s="71"/>
    </row>
    <row r="81" spans="2:9" x14ac:dyDescent="0.4">
      <c r="B81" s="71"/>
      <c r="D81" s="72"/>
      <c r="E81" s="107" t="s">
        <v>76</v>
      </c>
      <c r="F81" s="108"/>
      <c r="G81" s="109"/>
      <c r="H81" s="99">
        <v>7500</v>
      </c>
      <c r="I81" s="71"/>
    </row>
    <row r="82" spans="2:9" x14ac:dyDescent="0.4">
      <c r="B82" s="71"/>
      <c r="D82" s="72"/>
      <c r="E82" s="107" t="s">
        <v>77</v>
      </c>
      <c r="F82" s="108"/>
      <c r="G82" s="109"/>
      <c r="H82" s="102">
        <v>10000</v>
      </c>
    </row>
    <row r="83" spans="2:9" ht="12.6" thickBot="1" x14ac:dyDescent="0.45">
      <c r="B83" s="71"/>
      <c r="D83" s="72"/>
      <c r="E83" s="105"/>
      <c r="F83" s="106"/>
      <c r="G83" s="106"/>
      <c r="H83" s="100"/>
    </row>
    <row r="84" spans="2:9" ht="15.6" thickTop="1" thickBot="1" x14ac:dyDescent="0.55000000000000004">
      <c r="B84" s="73"/>
      <c r="C84" s="22"/>
      <c r="D84" s="74"/>
      <c r="E84" s="107" t="s">
        <v>78</v>
      </c>
      <c r="F84" s="108"/>
      <c r="G84" s="109"/>
      <c r="H84" s="96">
        <f>SUM(H76:H83)</f>
        <v>35994.135000000002</v>
      </c>
    </row>
    <row r="85" spans="2:9" ht="12.9" thickTop="1" thickBot="1" x14ac:dyDescent="0.45">
      <c r="B85" s="75"/>
      <c r="C85" s="76"/>
      <c r="D85" s="76"/>
      <c r="E85" s="113"/>
      <c r="F85" s="106"/>
      <c r="G85" s="114"/>
      <c r="H85" s="101"/>
      <c r="I85" s="71"/>
    </row>
    <row r="86" spans="2:9" ht="15.6" thickTop="1" thickBot="1" x14ac:dyDescent="0.55000000000000004">
      <c r="B86" s="77"/>
      <c r="C86" s="78"/>
      <c r="D86" s="79"/>
      <c r="E86" s="110" t="s">
        <v>58</v>
      </c>
      <c r="F86" s="111"/>
      <c r="G86" s="112"/>
      <c r="H86" s="55">
        <f>H74-F70-H84</f>
        <v>142198.46500000003</v>
      </c>
    </row>
    <row r="91" spans="2:9" x14ac:dyDescent="0.4">
      <c r="D91" s="80"/>
      <c r="E91" s="80"/>
      <c r="F91" s="80"/>
      <c r="G91" s="81"/>
    </row>
    <row r="92" spans="2:9" x14ac:dyDescent="0.4">
      <c r="D92" s="80"/>
      <c r="E92" s="80"/>
      <c r="F92" s="80"/>
      <c r="G92" s="81"/>
    </row>
    <row r="93" spans="2:9" x14ac:dyDescent="0.4">
      <c r="D93" s="80"/>
      <c r="E93" s="80"/>
      <c r="F93" s="80"/>
      <c r="G93" s="81"/>
    </row>
    <row r="94" spans="2:9" x14ac:dyDescent="0.4">
      <c r="D94" s="80"/>
      <c r="E94" s="80"/>
      <c r="F94" s="80"/>
      <c r="G94" s="81"/>
    </row>
    <row r="95" spans="2:9" x14ac:dyDescent="0.4">
      <c r="D95" s="80"/>
      <c r="E95" s="80"/>
      <c r="F95" s="80"/>
      <c r="G95" s="81"/>
    </row>
    <row r="96" spans="2:9" x14ac:dyDescent="0.4">
      <c r="D96" s="80"/>
      <c r="E96" s="80"/>
      <c r="F96" s="80"/>
      <c r="G96" s="81"/>
    </row>
    <row r="97" spans="4:8" x14ac:dyDescent="0.4">
      <c r="D97" s="80"/>
      <c r="E97" s="80"/>
      <c r="F97" s="80"/>
      <c r="G97" s="81"/>
    </row>
    <row r="98" spans="4:8" x14ac:dyDescent="0.4">
      <c r="D98" s="80"/>
      <c r="E98" s="80"/>
      <c r="F98" s="80"/>
      <c r="G98" s="81"/>
    </row>
    <row r="99" spans="4:8" x14ac:dyDescent="0.4">
      <c r="D99" s="80"/>
      <c r="E99" s="80"/>
      <c r="F99" s="80"/>
      <c r="G99" s="81"/>
    </row>
    <row r="100" spans="4:8" x14ac:dyDescent="0.4">
      <c r="D100" s="80"/>
      <c r="E100" s="80"/>
      <c r="F100" s="80"/>
      <c r="G100" s="81"/>
      <c r="H100" s="80"/>
    </row>
    <row r="101" spans="4:8" x14ac:dyDescent="0.4">
      <c r="D101" s="80"/>
      <c r="E101" s="80"/>
      <c r="F101" s="80"/>
      <c r="G101" s="81"/>
    </row>
    <row r="102" spans="4:8" x14ac:dyDescent="0.4">
      <c r="D102" s="80"/>
      <c r="E102" s="80"/>
      <c r="F102" s="80"/>
      <c r="G102" s="81"/>
    </row>
    <row r="103" spans="4:8" x14ac:dyDescent="0.4">
      <c r="D103" s="80"/>
      <c r="E103" s="80"/>
      <c r="F103" s="80"/>
      <c r="G103" s="81"/>
    </row>
    <row r="104" spans="4:8" x14ac:dyDescent="0.4">
      <c r="D104" s="80"/>
      <c r="E104" s="80"/>
      <c r="F104" s="80"/>
      <c r="G104" s="81"/>
    </row>
    <row r="105" spans="4:8" x14ac:dyDescent="0.4">
      <c r="D105" s="80"/>
      <c r="E105" s="80"/>
      <c r="F105" s="80"/>
      <c r="G105" s="81"/>
    </row>
    <row r="106" spans="4:8" x14ac:dyDescent="0.4">
      <c r="D106" s="80"/>
      <c r="E106" s="80"/>
      <c r="F106" s="80"/>
      <c r="G106" s="81"/>
    </row>
    <row r="107" spans="4:8" x14ac:dyDescent="0.4">
      <c r="D107" s="80"/>
      <c r="E107" s="80"/>
      <c r="F107" s="80"/>
      <c r="G107" s="81"/>
    </row>
    <row r="108" spans="4:8" x14ac:dyDescent="0.4">
      <c r="D108" s="80"/>
      <c r="E108" s="80"/>
      <c r="F108" s="80"/>
      <c r="G108" s="81"/>
    </row>
    <row r="109" spans="4:8" x14ac:dyDescent="0.4">
      <c r="D109" s="80"/>
      <c r="E109" s="80"/>
      <c r="F109" s="80"/>
      <c r="G109" s="81"/>
    </row>
    <row r="110" spans="4:8" x14ac:dyDescent="0.4">
      <c r="D110" s="80"/>
      <c r="E110" s="80"/>
      <c r="F110" s="80"/>
      <c r="G110" s="81"/>
    </row>
  </sheetData>
  <mergeCells count="24">
    <mergeCell ref="C73:D73"/>
    <mergeCell ref="C11:D11"/>
    <mergeCell ref="C62:D62"/>
    <mergeCell ref="B63:H63"/>
    <mergeCell ref="C64:D64"/>
    <mergeCell ref="C65:D65"/>
    <mergeCell ref="C67:D67"/>
    <mergeCell ref="C68:D68"/>
    <mergeCell ref="C69:D69"/>
    <mergeCell ref="B70:D70"/>
    <mergeCell ref="C71:D71"/>
    <mergeCell ref="B72:D72"/>
    <mergeCell ref="E86:G86"/>
    <mergeCell ref="B74:D74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312BDFB98EDC4ABACC06F554803574" ma:contentTypeVersion="19" ma:contentTypeDescription="Create a new document." ma:contentTypeScope="" ma:versionID="d554657186148a18c354c41ecb6aad78">
  <xsd:schema xmlns:xsd="http://www.w3.org/2001/XMLSchema" xmlns:xs="http://www.w3.org/2001/XMLSchema" xmlns:p="http://schemas.microsoft.com/office/2006/metadata/properties" xmlns:ns2="434d04a2-a5f3-4532-a594-13669de71075" xmlns:ns3="f93854ee-fd07-4fb1-97e2-699e9f41374b" targetNamespace="http://schemas.microsoft.com/office/2006/metadata/properties" ma:root="true" ma:fieldsID="fc4365629a7700a8ab0147017249c405" ns2:_="" ns3:_="">
    <xsd:import namespace="434d04a2-a5f3-4532-a594-13669de71075"/>
    <xsd:import namespace="f93854ee-fd07-4fb1-97e2-699e9f4137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d04a2-a5f3-4532-a594-13669de71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f6a95b5-9ab4-4e84-8a32-42f0272bc4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854ee-fd07-4fb1-97e2-699e9f41374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c4c6bf1-99a1-4b0f-acd0-ae6effe4d5c4}" ma:internalName="TaxCatchAll" ma:showField="CatchAllData" ma:web="f93854ee-fd07-4fb1-97e2-699e9f4137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A2DB5D-5015-44E4-9CFC-C93DBF9E7E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A0AD4C-B9DB-41B5-8DA5-50C9F1F9C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4d04a2-a5f3-4532-a594-13669de71075"/>
    <ds:schemaRef ds:uri="f93854ee-fd07-4fb1-97e2-699e9f4137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Single Wood</vt:lpstr>
      <vt:lpstr>Single Metal</vt:lpstr>
      <vt:lpstr>Double Steel &amp; Wood</vt:lpstr>
      <vt:lpstr>'Single Wood'!Print_Area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Gauthier</dc:creator>
  <cp:lastModifiedBy>Kit Shah</cp:lastModifiedBy>
  <cp:lastPrinted>2023-12-28T21:32:58Z</cp:lastPrinted>
  <dcterms:created xsi:type="dcterms:W3CDTF">2002-12-18T22:37:08Z</dcterms:created>
  <dcterms:modified xsi:type="dcterms:W3CDTF">2023-12-28T21:44:34Z</dcterms:modified>
</cp:coreProperties>
</file>