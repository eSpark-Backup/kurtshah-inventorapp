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Users\Waqar\Downloads\"/>
    </mc:Choice>
  </mc:AlternateContent>
  <xr:revisionPtr revIDLastSave="0" documentId="13_ncr:1_{82D7E6A3-E42B-42AE-B1CC-7D601304A71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Updated" sheetId="3" r:id="rId1"/>
    <sheet name="Sheet2" sheetId="2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2" l="1"/>
  <c r="D8" i="2"/>
  <c r="D7" i="2"/>
  <c r="D6" i="2"/>
  <c r="D5" i="2"/>
  <c r="D4" i="2"/>
  <c r="C9" i="2"/>
  <c r="C8" i="2"/>
  <c r="C7" i="2"/>
  <c r="C6" i="2"/>
  <c r="C5" i="2"/>
  <c r="C4" i="2"/>
</calcChain>
</file>

<file path=xl/sharedStrings.xml><?xml version="1.0" encoding="utf-8"?>
<sst xmlns="http://schemas.openxmlformats.org/spreadsheetml/2006/main" count="2067" uniqueCount="244">
  <si>
    <t>Part in (5922 model parts xls)</t>
  </si>
  <si>
    <t>Part in (Common parts xls)</t>
  </si>
  <si>
    <t>NE-0003-030-000</t>
  </si>
  <si>
    <t>Description</t>
  </si>
  <si>
    <t>Y Axis</t>
  </si>
  <si>
    <t>Z Axis</t>
  </si>
  <si>
    <t>X Bridge</t>
  </si>
  <si>
    <t>Spindle</t>
  </si>
  <si>
    <t>Tool Change</t>
  </si>
  <si>
    <t>Fixture</t>
  </si>
  <si>
    <t>Base</t>
  </si>
  <si>
    <t>NE-0003-040-000</t>
  </si>
  <si>
    <t>NE-0003-020-000</t>
  </si>
  <si>
    <t>NE-0003-050-000</t>
  </si>
  <si>
    <t>NE-0003-060-000</t>
  </si>
  <si>
    <t>NE-0003-080-000</t>
  </si>
  <si>
    <t>NE-0003-010-000</t>
  </si>
  <si>
    <t>NE-0003-010-004</t>
  </si>
  <si>
    <t>MBL-R1605-704-31-4380-30</t>
  </si>
  <si>
    <t>NE-0003-010-002</t>
  </si>
  <si>
    <t>EMS-350-125-150</t>
  </si>
  <si>
    <t>EMS-3125-34PZ</t>
  </si>
  <si>
    <t>M10 OVERTRAVEL BUMPER</t>
  </si>
  <si>
    <t>GEAR RACK</t>
  </si>
  <si>
    <t>30MM RAIL</t>
  </si>
  <si>
    <t>BUMPER MOUNT</t>
  </si>
  <si>
    <t>LEVELING PAD</t>
  </si>
  <si>
    <t>LIMIT SWITCH CAM 90MM</t>
  </si>
  <si>
    <t>CAM RAIL</t>
  </si>
  <si>
    <t>CABLE TRACK</t>
  </si>
  <si>
    <t>CABLE TRAY</t>
  </si>
  <si>
    <t>MOUNT BRACKET (NOT SHOWN)</t>
  </si>
  <si>
    <t>NE-0003-020-001</t>
  </si>
  <si>
    <t>MBL-R1605-704-31-2300-30</t>
  </si>
  <si>
    <t>NE-0003-022-000</t>
  </si>
  <si>
    <t>MULTIAX_ELEC-CABINET</t>
  </si>
  <si>
    <t>-</t>
  </si>
  <si>
    <t>2 POSITION CAM RAIL</t>
  </si>
  <si>
    <t>X BRIDGE</t>
  </si>
  <si>
    <t>RIGHT BRIDGE RISER</t>
  </si>
  <si>
    <t>LIMIT SWITCH CAM</t>
  </si>
  <si>
    <t>NE-0003-021-000</t>
  </si>
  <si>
    <t>OS-97646044N</t>
  </si>
  <si>
    <t>NE-0003-021-002</t>
  </si>
  <si>
    <t>NE-0003-021-004</t>
  </si>
  <si>
    <t>NE-0003-021-003</t>
  </si>
  <si>
    <t>MBL-1651-714-20</t>
  </si>
  <si>
    <t>NE-0003-022-002</t>
  </si>
  <si>
    <t>LEFT BRIDGE RISER</t>
  </si>
  <si>
    <t>OSAI MOTOR</t>
  </si>
  <si>
    <t>DIE SPRING</t>
  </si>
  <si>
    <t>GEARBOX</t>
  </si>
  <si>
    <t>PRELOAD TENSION BAR (LEFT HAND ONLY)</t>
  </si>
  <si>
    <t>PRELOADED SCREW</t>
  </si>
  <si>
    <t>GEARBOX MOUNT</t>
  </si>
  <si>
    <t>MALE GUIDE</t>
  </si>
  <si>
    <t>FEMALE GUIDE</t>
  </si>
  <si>
    <t>PRELOAD TENSION BAR</t>
  </si>
  <si>
    <t>30MM BEARING</t>
  </si>
  <si>
    <t>LIMIT SWITCH (RIGHT HAND ONLY)</t>
  </si>
  <si>
    <t>LIMIT SWITCH SUPPORT BAR (RIGHT HAND ONLY)</t>
  </si>
  <si>
    <t>NE-0003-030-005</t>
  </si>
  <si>
    <t>NE-0003-030-004</t>
  </si>
  <si>
    <t>NE-0003-030-003</t>
  </si>
  <si>
    <t>NE-0003-030-008</t>
  </si>
  <si>
    <t>NE-0003-030-001</t>
  </si>
  <si>
    <t>MBL-R1605-204-31-0660-30</t>
  </si>
  <si>
    <t>NE-0003-030-006</t>
  </si>
  <si>
    <t>NE-0003-030-002</t>
  </si>
  <si>
    <t>OS-97745334P</t>
  </si>
  <si>
    <t>PC-1213630420CP</t>
  </si>
  <si>
    <t>PC-371Z63G27028001</t>
  </si>
  <si>
    <t>CABLE SUPPORT</t>
  </si>
  <si>
    <t>DRIVE MOUNT</t>
  </si>
  <si>
    <t>Y AXIS LIMIT SWITCH MOUNT</t>
  </si>
  <si>
    <t>Y AXIS BUMPER MOUNT</t>
  </si>
  <si>
    <t>M8 OVERTRAVEL BUMPER</t>
  </si>
  <si>
    <t>Y AXIS CARRIAGE PLATE</t>
  </si>
  <si>
    <t>25MM BEARING</t>
  </si>
  <si>
    <t>DRIP TRAY</t>
  </si>
  <si>
    <t>25MM RAIL</t>
  </si>
  <si>
    <t>LIMIT SWITCH</t>
  </si>
  <si>
    <t>LIMIT SWITCH MOUNT</t>
  </si>
  <si>
    <t>SPACER</t>
  </si>
  <si>
    <t>Z AXIS DRIVE MOUNT</t>
  </si>
  <si>
    <t>BALANCE CYLINDER</t>
  </si>
  <si>
    <t>ACTUATOR</t>
  </si>
  <si>
    <t>NE-0003-000-000</t>
  </si>
  <si>
    <t>NE MACHINE</t>
  </si>
  <si>
    <t>Left Bridge Riser</t>
  </si>
  <si>
    <t xml:space="preserve"> NE-0003-021-001</t>
  </si>
  <si>
    <t>MBL-1651-214-20</t>
  </si>
  <si>
    <t>Z AXIS CARRIAGE PLATE</t>
  </si>
  <si>
    <t>28MM CAM</t>
  </si>
  <si>
    <t>90 SWITCH CAM</t>
  </si>
  <si>
    <t>BALANCE CYLINDER MOUNT</t>
  </si>
  <si>
    <t>MOTOR SUPPORT</t>
  </si>
  <si>
    <t>T BAR</t>
  </si>
  <si>
    <t>SPINDLE</t>
  </si>
  <si>
    <t>SERVO ADAPTOR</t>
  </si>
  <si>
    <t>DUST ASSEMBLY</t>
  </si>
  <si>
    <t>C AXIS</t>
  </si>
  <si>
    <t>NE-0003-050-001</t>
  </si>
  <si>
    <t>OS-97643126G</t>
  </si>
  <si>
    <t>EMT-A6161H0766</t>
  </si>
  <si>
    <t>NE-0003-050-002</t>
  </si>
  <si>
    <t>EMT-6314H0019B</t>
  </si>
  <si>
    <t>DUST BRUSH ASSEMBLY</t>
  </si>
  <si>
    <t>SUPPORT Ø38 H=90MM</t>
  </si>
  <si>
    <t>CYLINDER ISO 6432 Ø25MM STROKE=100MM</t>
  </si>
  <si>
    <t>SCHNORR TYPE WASHER Ø 6</t>
  </si>
  <si>
    <t>SCHNORR TYPE WASHER Ø 8</t>
  </si>
  <si>
    <t>HEXAGON SOCKET BUTTON HEAD SCREW M4X10 10.9</t>
  </si>
  <si>
    <t>HEXAGON SOCKET BUTTON HEAD SCREW M6X12 10.9</t>
  </si>
  <si>
    <t>HEXAGON SOCKET HEAD CAP SCREW M6X12 8.8</t>
  </si>
  <si>
    <t>HEXAGON SOCKET HEAD CAP SCREW M6X20 8.8</t>
  </si>
  <si>
    <t>HEXAGON SOCKET HEAD CAP SCREW M6X25 8.8</t>
  </si>
  <si>
    <t>HEXAGON SOCKET HEAD CAP SCREW M8X20 8.8</t>
  </si>
  <si>
    <t>HEXAGON NUT M4 8.8</t>
  </si>
  <si>
    <t>LINEAR BALL BEARING KH 1630 PP</t>
  </si>
  <si>
    <t>GASKET G 16X24X3</t>
  </si>
  <si>
    <t>SEAL G 20X28X4 INA</t>
  </si>
  <si>
    <t>LINEAR BALL BEARING KH2030 PP</t>
  </si>
  <si>
    <t>DUST EXTRACTION Ø160 299MM WIDTH H=683,5</t>
  </si>
  <si>
    <t>GUIDE BAR Ø20 225MM LENGTH</t>
  </si>
  <si>
    <t>GUIDE BAR Ø16 230MM LENGTH</t>
  </si>
  <si>
    <t>PLATE L=90MM W=43MM H=10MM</t>
  </si>
  <si>
    <t>CASING 299MM LENGTH 196MM WIDTH H=20MM</t>
  </si>
  <si>
    <t>DUST EXTRACTION COVER L=226MM W=38MM</t>
  </si>
  <si>
    <t>PLATE 405MM LENGTH 303MM WIDTH H=8MM</t>
  </si>
  <si>
    <t>PLATE 405MM LENGTH 303MM WIDTH H=4MM</t>
  </si>
  <si>
    <t>BELLOW 360MM LENGTH 301MM WIDTH</t>
  </si>
  <si>
    <t>DUST BRUSH</t>
  </si>
  <si>
    <t>CYLINDER CLAMP 62MM LENGTH 60MM WIDTH</t>
  </si>
  <si>
    <t>TOOL CHANGER</t>
  </si>
  <si>
    <t>Parts Present in Catalogue Model # NE 1104 3616</t>
  </si>
  <si>
    <t>NE-0003-060-003</t>
  </si>
  <si>
    <t>NE-0003-060-004</t>
  </si>
  <si>
    <t>NE-0003-060-001</t>
  </si>
  <si>
    <t>NE-0003-060-002</t>
  </si>
  <si>
    <t>ISO30 TOOL FORK</t>
  </si>
  <si>
    <t>8MM PROXIMITY SWITCH BRACKET</t>
  </si>
  <si>
    <t>PROXIMITY SWITCH (NOT SHOWN)</t>
  </si>
  <si>
    <t>Gearbox</t>
  </si>
  <si>
    <t>TOOL CHANGE MOUNT BRACKET</t>
  </si>
  <si>
    <t>TOOL CHANGE MOUNT ARM</t>
  </si>
  <si>
    <t>TOOL DISK</t>
  </si>
  <si>
    <t>BOLT FLANGE</t>
  </si>
  <si>
    <t>CONEX L22X44</t>
  </si>
  <si>
    <t>FIXTURE</t>
  </si>
  <si>
    <t>NE-0003-080-003</t>
  </si>
  <si>
    <t>NE-0003-080-012</t>
  </si>
  <si>
    <t>MM-9960T51</t>
  </si>
  <si>
    <t>NE-0003-080-020</t>
  </si>
  <si>
    <t>NE-0003-080-016</t>
  </si>
  <si>
    <t>MM-6659K44</t>
  </si>
  <si>
    <t>NE-0003-080-007</t>
  </si>
  <si>
    <t>OS-976431216G</t>
  </si>
  <si>
    <t>NE-0003-080-014</t>
  </si>
  <si>
    <t>PC-RFTOM#206</t>
  </si>
  <si>
    <t>PC-25CA50F052XP</t>
  </si>
  <si>
    <t>PC-W0950506312</t>
  </si>
  <si>
    <t>NE-0003-080-004</t>
  </si>
  <si>
    <t>NE-0003-080-006</t>
  </si>
  <si>
    <t>NE-0003-080-015</t>
  </si>
  <si>
    <t>NE-0003-080-005</t>
  </si>
  <si>
    <t>MBL-R1651-214-20</t>
  </si>
  <si>
    <t>MBL-R1605-204-31-1200-30</t>
  </si>
  <si>
    <t>NE-0003-080-018</t>
  </si>
  <si>
    <t>NE-0003-080-013</t>
  </si>
  <si>
    <t>PC-1130160050-ZP</t>
  </si>
  <si>
    <t>NE-0003-080-008</t>
  </si>
  <si>
    <t>NE-0003-080-002</t>
  </si>
  <si>
    <t>NE-0003-080-001</t>
  </si>
  <si>
    <t>MBL-MSC15R540-10</t>
  </si>
  <si>
    <t>MBL-MSC15MLLFZN</t>
  </si>
  <si>
    <t>MANIFOLD BOTTOM PLATE</t>
  </si>
  <si>
    <t>SKATE WHEEL MOUNT</t>
  </si>
  <si>
    <t>STEEL SKATE WHEEL</t>
  </si>
  <si>
    <t>CRANK ARM</t>
  </si>
  <si>
    <t>CONEX L22 X 44</t>
  </si>
  <si>
    <t>FLANGED SLEEVE BEARING</t>
  </si>
  <si>
    <t>STOP MOUNTING PLATE</t>
  </si>
  <si>
    <t>DOOR STOP</t>
  </si>
  <si>
    <t>REFERENCE STOP</t>
  </si>
  <si>
    <t>CYLINDER 52MM STROKE</t>
  </si>
  <si>
    <t>FLANGE</t>
  </si>
  <si>
    <t>CARRIAGE MOUNT</t>
  </si>
  <si>
    <t>CYLINDER SPACER</t>
  </si>
  <si>
    <t>RAIL MOUNT</t>
  </si>
  <si>
    <t>DRIVE PIN</t>
  </si>
  <si>
    <t>CYLINDER ROD END MOUNT</t>
  </si>
  <si>
    <t>AIR CYLINDER D=16 STROKE 50MM</t>
  </si>
  <si>
    <t>VACUUM POD MANIFOLD</t>
  </si>
  <si>
    <t>VACUUM POD</t>
  </si>
  <si>
    <t>15MM RAIL</t>
  </si>
  <si>
    <t>15MM BEARING</t>
  </si>
  <si>
    <t>SHOWN</t>
  </si>
  <si>
    <t>Part Recreated</t>
  </si>
  <si>
    <t>MISSING</t>
  </si>
  <si>
    <t>CORRUPTED</t>
  </si>
  <si>
    <t>YES</t>
  </si>
  <si>
    <t>Available</t>
  </si>
  <si>
    <t>N/A</t>
  </si>
  <si>
    <t>009008004300</t>
  </si>
  <si>
    <t>00800517000</t>
  </si>
  <si>
    <t>009008009600</t>
  </si>
  <si>
    <t>006001008800</t>
  </si>
  <si>
    <t>006001008600</t>
  </si>
  <si>
    <t>001008013900</t>
  </si>
  <si>
    <t>009008007700</t>
  </si>
  <si>
    <t>008005017000</t>
  </si>
  <si>
    <t>004008012300</t>
  </si>
  <si>
    <t>009001009200</t>
  </si>
  <si>
    <t>009001009300</t>
  </si>
  <si>
    <t>009003006000</t>
  </si>
  <si>
    <t>009003007500</t>
  </si>
  <si>
    <t>009003023000</t>
  </si>
  <si>
    <t>009003024100</t>
  </si>
  <si>
    <t>009003024300</t>
  </si>
  <si>
    <t>009003027800</t>
  </si>
  <si>
    <t>009005005400</t>
  </si>
  <si>
    <t>012000005200</t>
  </si>
  <si>
    <t>012000009900</t>
  </si>
  <si>
    <t>012000010000</t>
  </si>
  <si>
    <t>012000010200</t>
  </si>
  <si>
    <t>008005017100</t>
  </si>
  <si>
    <t>001033005500</t>
  </si>
  <si>
    <t>008003003400</t>
  </si>
  <si>
    <t>00800517100</t>
  </si>
  <si>
    <t>Part present in Recreated Model (Multi Ax Assembly.Step)</t>
  </si>
  <si>
    <t>SUMMARY (Total Count)</t>
  </si>
  <si>
    <t>Parts Present in catalogue = 133</t>
  </si>
  <si>
    <t>Parts matching with common parts.xls = 19</t>
  </si>
  <si>
    <t>Parts matching with 5922 model parts.xls = 69</t>
  </si>
  <si>
    <t>Parts present in Step file = 92</t>
  </si>
  <si>
    <t>Parts missing from Step file = 41</t>
  </si>
  <si>
    <t>Parts corrupted in Step file = 39</t>
  </si>
  <si>
    <t>Parts recreated = 71</t>
  </si>
  <si>
    <t>Sr.No.</t>
  </si>
  <si>
    <t>Nos.</t>
  </si>
  <si>
    <t>Summary</t>
  </si>
  <si>
    <t>INPUT Values</t>
  </si>
  <si>
    <t>MultiAx Machine 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</si>
</sst>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3F3F76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7E4FF"/>
        <bgColor indexed="64"/>
      </patternFill>
    </fill>
    <fill>
      <patternFill patternType="solid">
        <fgColor theme="7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5" fillId="5" borderId="2" applyNumberFormat="0" applyAlignment="0" applyProtection="0"/>
    <xf numFmtId="0" fontId="6" fillId="0" borderId="0" applyNumberFormat="0" applyFill="0" applyBorder="0" applyAlignment="0" applyProtection="0"/>
    <xf numFmtId="0" fontId="1" fillId="6" borderId="3" applyNumberFormat="0" applyFont="0" applyAlignment="0" applyProtection="0"/>
    <xf numFmtId="0" fontId="1" fillId="7" borderId="0" applyNumberFormat="0" applyBorder="0" applyAlignment="0" applyProtection="0"/>
  </cellStyleXfs>
  <cellXfs count="108">
    <xf numFmtId="0" fontId="0" fillId="0" borderId="0" xfId="0"/>
    <xf numFmtId="0" fontId="0" fillId="0" borderId="0" xfId="0" applyAlignment="1">
      <alignment vertical="top"/>
    </xf>
    <xf numFmtId="0" fontId="0" fillId="0" borderId="4" xfId="0" applyBorder="1" applyAlignment="1">
      <alignment horizontal="center"/>
    </xf>
    <xf numFmtId="0" fontId="3" fillId="3" borderId="4" xfId="2" applyBorder="1" applyAlignment="1">
      <alignment horizontal="center" vertical="center"/>
    </xf>
    <xf numFmtId="0" fontId="3" fillId="3" borderId="4" xfId="2" applyBorder="1" applyAlignment="1">
      <alignment horizontal="center"/>
    </xf>
    <xf numFmtId="0" fontId="7" fillId="8" borderId="4" xfId="3" applyFont="1" applyFill="1" applyBorder="1" applyAlignment="1">
      <alignment horizontal="center" vertical="center"/>
    </xf>
    <xf numFmtId="0" fontId="7" fillId="4" borderId="4" xfId="3" applyFont="1" applyBorder="1" applyAlignment="1">
      <alignment horizontal="center" vertical="center"/>
    </xf>
    <xf numFmtId="1" fontId="3" fillId="3" borderId="4" xfId="2" applyNumberFormat="1" applyBorder="1" applyAlignment="1">
      <alignment horizontal="center"/>
    </xf>
    <xf numFmtId="0" fontId="0" fillId="6" borderId="4" xfId="6" applyFont="1" applyBorder="1" applyAlignment="1">
      <alignment horizontal="center"/>
    </xf>
    <xf numFmtId="0" fontId="1" fillId="6" borderId="4" xfId="6" applyFont="1" applyBorder="1" applyAlignment="1">
      <alignment horizontal="center"/>
    </xf>
    <xf numFmtId="0" fontId="2" fillId="2" borderId="4" xfId="1" applyBorder="1" applyAlignment="1">
      <alignment horizontal="center"/>
    </xf>
    <xf numFmtId="0" fontId="2" fillId="2" borderId="5" xfId="1" applyBorder="1" applyAlignment="1">
      <alignment horizontal="center"/>
    </xf>
    <xf numFmtId="0" fontId="5" fillId="5" borderId="4" xfId="4" applyBorder="1" applyAlignment="1">
      <alignment horizontal="center"/>
    </xf>
    <xf numFmtId="0" fontId="8" fillId="0" borderId="4" xfId="0" applyFon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6" borderId="4" xfId="6" applyNumberFormat="1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3" fillId="10" borderId="4" xfId="2" applyFill="1" applyBorder="1" applyAlignment="1">
      <alignment horizontal="center"/>
    </xf>
    <xf numFmtId="0" fontId="0" fillId="10" borderId="4" xfId="6" applyFont="1" applyFill="1" applyBorder="1" applyAlignment="1">
      <alignment horizontal="center"/>
    </xf>
    <xf numFmtId="0" fontId="1" fillId="10" borderId="4" xfId="7" applyFill="1" applyBorder="1" applyAlignment="1">
      <alignment horizontal="center"/>
    </xf>
    <xf numFmtId="0" fontId="1" fillId="10" borderId="5" xfId="7" applyFill="1" applyBorder="1" applyAlignment="1">
      <alignment horizontal="center"/>
    </xf>
    <xf numFmtId="1" fontId="0" fillId="0" borderId="5" xfId="0" quotePrefix="1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6" borderId="4" xfId="6" applyNumberFormat="1" applyFon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" fontId="0" fillId="0" borderId="4" xfId="0" quotePrefix="1" applyNumberFormat="1" applyBorder="1" applyAlignment="1">
      <alignment horizontal="center" vertical="center"/>
    </xf>
    <xf numFmtId="0" fontId="9" fillId="9" borderId="5" xfId="3" applyFont="1" applyFill="1" applyBorder="1" applyAlignment="1">
      <alignment horizontal="center" vertical="center"/>
    </xf>
    <xf numFmtId="0" fontId="3" fillId="11" borderId="4" xfId="2" applyFill="1" applyBorder="1" applyAlignment="1">
      <alignment horizontal="center" vertical="center"/>
    </xf>
    <xf numFmtId="0" fontId="0" fillId="11" borderId="4" xfId="6" applyFont="1" applyFill="1" applyBorder="1" applyAlignment="1">
      <alignment horizontal="center" vertical="center"/>
    </xf>
    <xf numFmtId="0" fontId="1" fillId="11" borderId="4" xfId="7" applyFill="1" applyBorder="1" applyAlignment="1">
      <alignment horizontal="center" vertical="center"/>
    </xf>
    <xf numFmtId="0" fontId="1" fillId="11" borderId="5" xfId="7" applyFill="1" applyBorder="1" applyAlignment="1">
      <alignment horizontal="center" vertical="center"/>
    </xf>
    <xf numFmtId="0" fontId="7" fillId="4" borderId="5" xfId="3" applyFont="1" applyBorder="1" applyAlignment="1">
      <alignment horizontal="center" vertical="center"/>
    </xf>
    <xf numFmtId="0" fontId="0" fillId="6" borderId="4" xfId="6" applyFont="1" applyBorder="1" applyAlignment="1">
      <alignment horizontal="center" vertical="center"/>
    </xf>
    <xf numFmtId="0" fontId="6" fillId="0" borderId="4" xfId="5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vertical="top"/>
    </xf>
    <xf numFmtId="0" fontId="0" fillId="0" borderId="4" xfId="0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" fillId="10" borderId="4" xfId="7" applyFill="1" applyBorder="1" applyAlignment="1">
      <alignment horizontal="center"/>
    </xf>
    <xf numFmtId="0" fontId="1" fillId="11" borderId="4" xfId="7" applyFill="1" applyBorder="1" applyAlignment="1">
      <alignment horizontal="center"/>
    </xf>
    <xf numFmtId="0" fontId="3" fillId="3" borderId="4" xfId="2" applyBorder="1" applyAlignment="1">
      <alignment horizontal="center" vertical="center"/>
    </xf>
    <xf numFmtId="0" fontId="3" fillId="3" borderId="4" xfId="2" applyBorder="1" applyAlignment="1">
      <alignment horizontal="center"/>
    </xf>
    <xf numFmtId="0" fontId="6" fillId="0" borderId="4" xfId="5" applyBorder="1" applyAlignment="1">
      <alignment horizontal="center"/>
    </xf>
    <xf numFmtId="1" fontId="3" fillId="3" borderId="4" xfId="2" applyNumberFormat="1" applyBorder="1" applyAlignment="1">
      <alignment horizontal="center"/>
    </xf>
    <xf numFmtId="0" fontId="0" fillId="6" borderId="4" xfId="6" applyFont="1" applyBorder="1" applyAlignment="1">
      <alignment horizontal="center"/>
    </xf>
    <xf numFmtId="0" fontId="1" fillId="6" borderId="4" xfId="6" applyFont="1" applyBorder="1" applyAlignment="1">
      <alignment horizontal="center"/>
    </xf>
    <xf numFmtId="0" fontId="2" fillId="2" borderId="4" xfId="1" applyBorder="1" applyAlignment="1">
      <alignment horizontal="center"/>
    </xf>
    <xf numFmtId="0" fontId="0" fillId="10" borderId="4" xfId="6" applyFont="1" applyFill="1" applyBorder="1" applyAlignment="1">
      <alignment horizontal="center"/>
    </xf>
    <xf numFmtId="0" fontId="1" fillId="10" borderId="4" xfId="6" applyFont="1" applyFill="1" applyBorder="1" applyAlignment="1">
      <alignment horizontal="center"/>
    </xf>
    <xf numFmtId="0" fontId="0" fillId="11" borderId="4" xfId="6" applyFont="1" applyFill="1" applyBorder="1" applyAlignment="1">
      <alignment horizontal="center"/>
    </xf>
    <xf numFmtId="0" fontId="1" fillId="11" borderId="4" xfId="6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8" fillId="0" borderId="4" xfId="0" applyFont="1" applyBorder="1" applyAlignment="1">
      <alignment horizontal="center"/>
    </xf>
    <xf numFmtId="1" fontId="0" fillId="0" borderId="4" xfId="0" quotePrefix="1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6" borderId="4" xfId="6" applyNumberFormat="1" applyFont="1" applyBorder="1" applyAlignment="1">
      <alignment horizontal="center"/>
    </xf>
    <xf numFmtId="1" fontId="0" fillId="0" borderId="5" xfId="0" quotePrefix="1" applyNumberFormat="1" applyBorder="1" applyAlignment="1">
      <alignment horizontal="center"/>
    </xf>
    <xf numFmtId="1" fontId="0" fillId="0" borderId="6" xfId="0" quotePrefix="1" applyNumberFormat="1" applyBorder="1" applyAlignment="1">
      <alignment horizontal="center"/>
    </xf>
    <xf numFmtId="1" fontId="0" fillId="0" borderId="7" xfId="0" quotePrefix="1" applyNumberForma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5" fillId="5" borderId="4" xfId="4" applyBorder="1" applyAlignment="1">
      <alignment horizontal="center"/>
    </xf>
    <xf numFmtId="0" fontId="3" fillId="10" borderId="4" xfId="2" applyFill="1" applyBorder="1" applyAlignment="1">
      <alignment horizontal="center"/>
    </xf>
    <xf numFmtId="0" fontId="3" fillId="11" borderId="4" xfId="2" applyFill="1" applyBorder="1" applyAlignment="1">
      <alignment horizontal="center"/>
    </xf>
    <xf numFmtId="0" fontId="1" fillId="10" borderId="5" xfId="7" applyFill="1" applyBorder="1" applyAlignment="1">
      <alignment horizontal="center"/>
    </xf>
    <xf numFmtId="0" fontId="1" fillId="10" borderId="6" xfId="7" applyFill="1" applyBorder="1" applyAlignment="1">
      <alignment horizontal="center"/>
    </xf>
    <xf numFmtId="0" fontId="1" fillId="10" borderId="7" xfId="7" applyFill="1" applyBorder="1" applyAlignment="1">
      <alignment horizontal="center"/>
    </xf>
    <xf numFmtId="0" fontId="1" fillId="11" borderId="5" xfId="7" applyFill="1" applyBorder="1" applyAlignment="1">
      <alignment horizontal="center"/>
    </xf>
    <xf numFmtId="0" fontId="1" fillId="11" borderId="6" xfId="7" applyFill="1" applyBorder="1" applyAlignment="1">
      <alignment horizontal="center"/>
    </xf>
    <xf numFmtId="0" fontId="1" fillId="11" borderId="7" xfId="7" applyFill="1" applyBorder="1" applyAlignment="1">
      <alignment horizontal="center"/>
    </xf>
    <xf numFmtId="0" fontId="2" fillId="2" borderId="5" xfId="1" applyBorder="1" applyAlignment="1">
      <alignment horizontal="center"/>
    </xf>
    <xf numFmtId="0" fontId="2" fillId="2" borderId="6" xfId="1" applyBorder="1" applyAlignment="1">
      <alignment horizontal="center"/>
    </xf>
    <xf numFmtId="0" fontId="2" fillId="2" borderId="7" xfId="1" applyBorder="1" applyAlignment="1">
      <alignment horizontal="center"/>
    </xf>
    <xf numFmtId="0" fontId="9" fillId="9" borderId="5" xfId="3" applyFont="1" applyFill="1" applyBorder="1" applyAlignment="1">
      <alignment horizontal="center" vertical="center"/>
    </xf>
    <xf numFmtId="0" fontId="9" fillId="9" borderId="6" xfId="3" applyFont="1" applyFill="1" applyBorder="1" applyAlignment="1">
      <alignment horizontal="center" vertical="center"/>
    </xf>
    <xf numFmtId="0" fontId="9" fillId="9" borderId="7" xfId="3" applyFont="1" applyFill="1" applyBorder="1" applyAlignment="1">
      <alignment horizontal="center" vertical="center"/>
    </xf>
    <xf numFmtId="0" fontId="7" fillId="4" borderId="5" xfId="3" applyFont="1" applyBorder="1" applyAlignment="1">
      <alignment horizontal="center" vertical="center"/>
    </xf>
    <xf numFmtId="0" fontId="7" fillId="4" borderId="6" xfId="3" applyFont="1" applyBorder="1" applyAlignment="1">
      <alignment horizontal="center" vertical="center"/>
    </xf>
    <xf numFmtId="0" fontId="7" fillId="4" borderId="7" xfId="3" applyFont="1" applyBorder="1" applyAlignment="1">
      <alignment horizontal="center" vertical="center"/>
    </xf>
    <xf numFmtId="0" fontId="7" fillId="8" borderId="5" xfId="3" applyFont="1" applyFill="1" applyBorder="1" applyAlignment="1">
      <alignment horizontal="center" vertical="center"/>
    </xf>
    <xf numFmtId="0" fontId="7" fillId="8" borderId="6" xfId="3" applyFont="1" applyFill="1" applyBorder="1" applyAlignment="1">
      <alignment horizontal="center" vertical="center"/>
    </xf>
    <xf numFmtId="0" fontId="7" fillId="8" borderId="7" xfId="3" applyFont="1" applyFill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</cellXfs>
  <cellStyles count="8">
    <cellStyle name="20% - Accent1" xfId="7" builtinId="30"/>
    <cellStyle name="Bad" xfId="2" builtinId="27"/>
    <cellStyle name="Check Cell" xfId="4" builtinId="23"/>
    <cellStyle name="Good" xfId="1" builtinId="26"/>
    <cellStyle name="Input" xfId="3" builtinId="20"/>
    <cellStyle name="Normal" xfId="0" builtinId="0"/>
    <cellStyle name="Note" xfId="6" builtinId="10"/>
    <cellStyle name="Warning Text" xfId="5" builtinId="11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A5A5A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A5A5A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A5A5A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A5A5A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A5A5A5"/>
        </patternFill>
      </fill>
    </dxf>
  </dxfs>
  <tableStyles count="0" defaultTableStyle="TableStyleMedium2" defaultPivotStyle="PivotStyleLight16"/>
  <colors>
    <mruColors>
      <color rgb="FFFF8F8F"/>
      <color rgb="FFFFA3A3"/>
      <color rgb="FFFF7D7D"/>
      <color rgb="FFFFFFFF"/>
      <color rgb="FFA5A5A5"/>
      <color rgb="FFC6EFCE"/>
      <color rgb="FF006100"/>
      <color rgb="FF81FFBA"/>
      <color rgb="FF97E4FF"/>
      <color rgb="FF5DD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CE305-590D-4FFB-8AD2-B17226F1E903}">
  <dimension ref="A1:R151"/>
  <sheetViews>
    <sheetView zoomScaleNormal="100" workbookViewId="0">
      <selection activeCell="B1" sqref="B1:B1048576"/>
    </sheetView>
  </sheetViews>
  <sheetFormatPr defaultRowHeight="15" x14ac:dyDescent="0.25"/>
  <cols>
    <col min="1" max="1" width="48.42578125" bestFit="1" customWidth="1"/>
    <col min="2" max="2" width="48.140625" bestFit="1" customWidth="1"/>
    <col min="3" max="3" width="26.140625" bestFit="1" customWidth="1"/>
    <col min="4" max="4" width="56.28515625" bestFit="1" customWidth="1"/>
    <col min="5" max="5" width="28.85546875" bestFit="1" customWidth="1"/>
    <col min="6" max="6" width="17.7109375" customWidth="1"/>
    <col min="7" max="7" width="22.140625" customWidth="1"/>
  </cols>
  <sheetData>
    <row r="1" spans="1:18" ht="30.75" customHeight="1" x14ac:dyDescent="0.25">
      <c r="A1" s="5" t="s">
        <v>135</v>
      </c>
      <c r="B1" s="6" t="s">
        <v>3</v>
      </c>
      <c r="C1" s="6" t="s">
        <v>1</v>
      </c>
      <c r="D1" s="43" t="s">
        <v>230</v>
      </c>
      <c r="E1" s="6" t="s">
        <v>0</v>
      </c>
      <c r="F1" s="48" t="s">
        <v>200</v>
      </c>
      <c r="G1" s="6" t="s">
        <v>198</v>
      </c>
    </row>
    <row r="2" spans="1:18" x14ac:dyDescent="0.25">
      <c r="A2" s="7" t="s">
        <v>87</v>
      </c>
      <c r="B2" s="3" t="s">
        <v>88</v>
      </c>
      <c r="C2" s="33" t="s">
        <v>203</v>
      </c>
      <c r="D2" s="4" t="s">
        <v>203</v>
      </c>
      <c r="E2" s="44" t="s">
        <v>203</v>
      </c>
      <c r="F2" s="3" t="s">
        <v>203</v>
      </c>
      <c r="G2" s="4" t="s">
        <v>203</v>
      </c>
    </row>
    <row r="3" spans="1:18" x14ac:dyDescent="0.25">
      <c r="A3" s="15" t="s">
        <v>2</v>
      </c>
      <c r="B3" s="9" t="s">
        <v>4</v>
      </c>
      <c r="C3" s="34" t="s">
        <v>203</v>
      </c>
      <c r="D3" s="8" t="s">
        <v>203</v>
      </c>
      <c r="E3" s="45" t="s">
        <v>203</v>
      </c>
      <c r="F3" s="49" t="s">
        <v>203</v>
      </c>
      <c r="G3" s="8" t="s">
        <v>203</v>
      </c>
    </row>
    <row r="4" spans="1:18" x14ac:dyDescent="0.25">
      <c r="A4" s="15" t="s">
        <v>11</v>
      </c>
      <c r="B4" s="9" t="s">
        <v>5</v>
      </c>
      <c r="C4" s="34" t="s">
        <v>203</v>
      </c>
      <c r="D4" s="8" t="s">
        <v>203</v>
      </c>
      <c r="E4" s="45" t="s">
        <v>203</v>
      </c>
      <c r="F4" s="49" t="s">
        <v>203</v>
      </c>
      <c r="G4" s="8" t="s">
        <v>203</v>
      </c>
    </row>
    <row r="5" spans="1:18" x14ac:dyDescent="0.25">
      <c r="A5" s="15" t="s">
        <v>12</v>
      </c>
      <c r="B5" s="9" t="s">
        <v>6</v>
      </c>
      <c r="C5" s="34" t="s">
        <v>203</v>
      </c>
      <c r="D5" s="8" t="s">
        <v>203</v>
      </c>
      <c r="E5" s="45" t="s">
        <v>203</v>
      </c>
      <c r="F5" s="49" t="s">
        <v>203</v>
      </c>
      <c r="G5" s="8" t="s">
        <v>203</v>
      </c>
    </row>
    <row r="6" spans="1:18" x14ac:dyDescent="0.25">
      <c r="A6" s="15" t="s">
        <v>13</v>
      </c>
      <c r="B6" s="9" t="s">
        <v>7</v>
      </c>
      <c r="C6" s="34" t="s">
        <v>203</v>
      </c>
      <c r="D6" s="8" t="s">
        <v>203</v>
      </c>
      <c r="E6" s="45" t="s">
        <v>203</v>
      </c>
      <c r="F6" s="49" t="s">
        <v>203</v>
      </c>
      <c r="G6" s="8" t="s">
        <v>203</v>
      </c>
    </row>
    <row r="7" spans="1:18" x14ac:dyDescent="0.25">
      <c r="A7" s="15" t="s">
        <v>14</v>
      </c>
      <c r="B7" s="9" t="s">
        <v>8</v>
      </c>
      <c r="C7" s="34" t="s">
        <v>203</v>
      </c>
      <c r="D7" s="8" t="s">
        <v>203</v>
      </c>
      <c r="E7" s="45" t="s">
        <v>203</v>
      </c>
      <c r="F7" s="49" t="s">
        <v>203</v>
      </c>
      <c r="G7" s="8" t="s">
        <v>203</v>
      </c>
      <c r="I7" s="53" t="s">
        <v>231</v>
      </c>
      <c r="J7" s="53"/>
      <c r="K7" s="53"/>
      <c r="L7" s="53"/>
      <c r="M7" s="53"/>
      <c r="N7" s="53"/>
    </row>
    <row r="8" spans="1:18" x14ac:dyDescent="0.25">
      <c r="A8" s="15" t="s">
        <v>15</v>
      </c>
      <c r="B8" s="9" t="s">
        <v>9</v>
      </c>
      <c r="C8" s="34" t="s">
        <v>203</v>
      </c>
      <c r="D8" s="8" t="s">
        <v>203</v>
      </c>
      <c r="E8" s="45" t="s">
        <v>203</v>
      </c>
      <c r="F8" s="49" t="s">
        <v>203</v>
      </c>
      <c r="G8" s="8" t="s">
        <v>203</v>
      </c>
      <c r="I8" s="52" t="s">
        <v>232</v>
      </c>
      <c r="J8" s="52"/>
      <c r="K8" s="52"/>
      <c r="L8" s="52"/>
      <c r="M8" s="52"/>
      <c r="N8" s="52"/>
      <c r="O8" s="1"/>
      <c r="P8" s="1"/>
      <c r="Q8" s="1"/>
      <c r="R8" s="1"/>
    </row>
    <row r="9" spans="1:18" x14ac:dyDescent="0.25">
      <c r="A9" s="15" t="s">
        <v>16</v>
      </c>
      <c r="B9" s="9" t="s">
        <v>10</v>
      </c>
      <c r="C9" s="34" t="s">
        <v>203</v>
      </c>
      <c r="D9" s="8" t="s">
        <v>203</v>
      </c>
      <c r="E9" s="45" t="s">
        <v>203</v>
      </c>
      <c r="F9" s="49" t="s">
        <v>203</v>
      </c>
      <c r="G9" s="8" t="s">
        <v>203</v>
      </c>
      <c r="I9" s="52" t="s">
        <v>233</v>
      </c>
      <c r="J9" s="52"/>
      <c r="K9" s="52"/>
      <c r="L9" s="52"/>
      <c r="M9" s="52"/>
      <c r="N9" s="52"/>
      <c r="O9" s="1"/>
      <c r="P9" s="1"/>
      <c r="Q9" s="1"/>
      <c r="R9" s="1"/>
    </row>
    <row r="10" spans="1:18" x14ac:dyDescent="0.25">
      <c r="A10" s="37" t="s">
        <v>210</v>
      </c>
      <c r="B10" s="2" t="s">
        <v>22</v>
      </c>
      <c r="C10" s="35" t="s">
        <v>36</v>
      </c>
      <c r="D10" s="10" t="s">
        <v>197</v>
      </c>
      <c r="E10" s="46" t="s">
        <v>201</v>
      </c>
      <c r="F10" s="41" t="s">
        <v>36</v>
      </c>
      <c r="G10" s="13" t="s">
        <v>202</v>
      </c>
      <c r="I10" s="52" t="s">
        <v>234</v>
      </c>
      <c r="J10" s="52"/>
      <c r="K10" s="52"/>
      <c r="L10" s="52"/>
      <c r="M10" s="52"/>
      <c r="N10" s="52"/>
      <c r="O10" s="1"/>
      <c r="P10" s="1"/>
      <c r="Q10" s="1"/>
      <c r="R10" s="1"/>
    </row>
    <row r="11" spans="1:18" x14ac:dyDescent="0.25">
      <c r="A11" s="38">
        <v>203025001100</v>
      </c>
      <c r="B11" s="2" t="s">
        <v>23</v>
      </c>
      <c r="C11" s="35" t="s">
        <v>36</v>
      </c>
      <c r="D11" s="10" t="s">
        <v>197</v>
      </c>
      <c r="E11" s="46" t="s">
        <v>201</v>
      </c>
      <c r="F11" s="41" t="s">
        <v>36</v>
      </c>
      <c r="G11" s="13" t="s">
        <v>202</v>
      </c>
      <c r="I11" s="52" t="s">
        <v>235</v>
      </c>
      <c r="J11" s="52"/>
      <c r="K11" s="52"/>
      <c r="L11" s="52"/>
      <c r="M11" s="52"/>
      <c r="N11" s="52"/>
      <c r="O11" s="1"/>
      <c r="P11" s="1"/>
      <c r="Q11" s="1"/>
      <c r="R11" s="1"/>
    </row>
    <row r="12" spans="1:18" x14ac:dyDescent="0.25">
      <c r="A12" s="38" t="s">
        <v>17</v>
      </c>
      <c r="B12" s="2" t="s">
        <v>17</v>
      </c>
      <c r="C12" s="35" t="s">
        <v>201</v>
      </c>
      <c r="D12" s="10" t="s">
        <v>197</v>
      </c>
      <c r="E12" s="46" t="s">
        <v>201</v>
      </c>
      <c r="F12" s="41" t="s">
        <v>36</v>
      </c>
      <c r="G12" s="13" t="s">
        <v>202</v>
      </c>
      <c r="I12" s="52" t="s">
        <v>236</v>
      </c>
      <c r="J12" s="52"/>
      <c r="K12" s="52"/>
      <c r="L12" s="52"/>
      <c r="M12" s="52"/>
      <c r="N12" s="52"/>
      <c r="O12" s="1"/>
      <c r="P12" s="1"/>
      <c r="Q12" s="1"/>
      <c r="R12" s="1"/>
    </row>
    <row r="13" spans="1:18" x14ac:dyDescent="0.25">
      <c r="A13" s="38" t="s">
        <v>18</v>
      </c>
      <c r="B13" s="2" t="s">
        <v>24</v>
      </c>
      <c r="C13" s="35" t="s">
        <v>36</v>
      </c>
      <c r="D13" s="10" t="s">
        <v>197</v>
      </c>
      <c r="E13" s="46" t="s">
        <v>36</v>
      </c>
      <c r="F13" s="41" t="s">
        <v>36</v>
      </c>
      <c r="G13" s="13" t="s">
        <v>202</v>
      </c>
      <c r="I13" s="52" t="s">
        <v>237</v>
      </c>
      <c r="J13" s="52"/>
      <c r="K13" s="52"/>
      <c r="L13" s="52"/>
      <c r="M13" s="52"/>
      <c r="N13" s="52"/>
      <c r="O13" s="1"/>
      <c r="P13" s="1"/>
      <c r="Q13" s="1"/>
      <c r="R13" s="1"/>
    </row>
    <row r="14" spans="1:18" x14ac:dyDescent="0.25">
      <c r="A14" s="38" t="s">
        <v>19</v>
      </c>
      <c r="B14" s="2" t="s">
        <v>25</v>
      </c>
      <c r="C14" s="35" t="s">
        <v>201</v>
      </c>
      <c r="D14" s="10" t="s">
        <v>197</v>
      </c>
      <c r="E14" s="46" t="s">
        <v>201</v>
      </c>
      <c r="F14" s="41" t="s">
        <v>36</v>
      </c>
      <c r="G14" s="13" t="s">
        <v>202</v>
      </c>
      <c r="I14" s="52" t="s">
        <v>238</v>
      </c>
      <c r="J14" s="52"/>
      <c r="K14" s="52"/>
      <c r="L14" s="52"/>
      <c r="M14" s="52"/>
      <c r="N14" s="52"/>
      <c r="O14" s="1"/>
      <c r="P14" s="1"/>
      <c r="Q14" s="1"/>
      <c r="R14" s="1"/>
    </row>
    <row r="15" spans="1:18" x14ac:dyDescent="0.25">
      <c r="A15" s="38">
        <v>203047000200</v>
      </c>
      <c r="B15" s="2" t="s">
        <v>26</v>
      </c>
      <c r="C15" s="35" t="s">
        <v>201</v>
      </c>
      <c r="D15" s="10" t="s">
        <v>197</v>
      </c>
      <c r="E15" s="46" t="s">
        <v>201</v>
      </c>
      <c r="F15" s="41" t="s">
        <v>36</v>
      </c>
      <c r="G15" s="13" t="s">
        <v>202</v>
      </c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38">
        <v>203012000200</v>
      </c>
      <c r="B16" s="2" t="s">
        <v>27</v>
      </c>
      <c r="C16" s="35" t="s">
        <v>36</v>
      </c>
      <c r="D16" s="10" t="s">
        <v>197</v>
      </c>
      <c r="E16" s="46" t="s">
        <v>201</v>
      </c>
      <c r="F16" s="50" t="s">
        <v>201</v>
      </c>
      <c r="G16" s="13" t="s">
        <v>202</v>
      </c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38">
        <v>203038002500</v>
      </c>
      <c r="B17" s="2" t="s">
        <v>28</v>
      </c>
      <c r="C17" s="35" t="s">
        <v>36</v>
      </c>
      <c r="D17" s="10" t="s">
        <v>197</v>
      </c>
      <c r="E17" s="46" t="s">
        <v>36</v>
      </c>
      <c r="F17" s="50" t="s">
        <v>201</v>
      </c>
      <c r="G17" s="13" t="s">
        <v>202</v>
      </c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38" t="s">
        <v>20</v>
      </c>
      <c r="B18" s="2" t="s">
        <v>29</v>
      </c>
      <c r="C18" s="35" t="s">
        <v>36</v>
      </c>
      <c r="D18" s="10" t="s">
        <v>197</v>
      </c>
      <c r="E18" s="46" t="s">
        <v>201</v>
      </c>
      <c r="F18" s="41" t="s">
        <v>36</v>
      </c>
      <c r="G18" s="13" t="s">
        <v>202</v>
      </c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38" t="s">
        <v>21</v>
      </c>
      <c r="B19" s="2" t="s">
        <v>31</v>
      </c>
      <c r="C19" s="35" t="s">
        <v>36</v>
      </c>
      <c r="D19" s="10" t="s">
        <v>197</v>
      </c>
      <c r="E19" s="46" t="s">
        <v>201</v>
      </c>
      <c r="F19" s="41" t="s">
        <v>36</v>
      </c>
      <c r="G19" s="13" t="s">
        <v>202</v>
      </c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38">
        <v>203026010200</v>
      </c>
      <c r="B20" s="2" t="s">
        <v>30</v>
      </c>
      <c r="C20" s="35" t="s">
        <v>36</v>
      </c>
      <c r="D20" s="10" t="s">
        <v>197</v>
      </c>
      <c r="E20" s="46" t="s">
        <v>201</v>
      </c>
      <c r="F20" s="41" t="s">
        <v>36</v>
      </c>
      <c r="G20" s="13" t="s">
        <v>202</v>
      </c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39" t="s">
        <v>12</v>
      </c>
      <c r="B21" s="9" t="s">
        <v>6</v>
      </c>
      <c r="C21" s="34" t="s">
        <v>203</v>
      </c>
      <c r="D21" s="8" t="s">
        <v>203</v>
      </c>
      <c r="E21" s="45" t="s">
        <v>203</v>
      </c>
      <c r="F21" s="49" t="s">
        <v>203</v>
      </c>
      <c r="G21" s="8" t="s">
        <v>203</v>
      </c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40" t="s">
        <v>20</v>
      </c>
      <c r="B22" s="2" t="s">
        <v>29</v>
      </c>
      <c r="C22" s="35" t="s">
        <v>36</v>
      </c>
      <c r="D22" s="10" t="s">
        <v>197</v>
      </c>
      <c r="E22" s="46" t="s">
        <v>201</v>
      </c>
      <c r="F22" s="41" t="s">
        <v>36</v>
      </c>
      <c r="G22" s="13" t="s">
        <v>202</v>
      </c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40">
        <v>203038002500</v>
      </c>
      <c r="B23" s="2" t="s">
        <v>37</v>
      </c>
      <c r="C23" s="35" t="s">
        <v>36</v>
      </c>
      <c r="D23" s="10" t="s">
        <v>197</v>
      </c>
      <c r="E23" s="46" t="s">
        <v>36</v>
      </c>
      <c r="F23" s="41" t="s">
        <v>36</v>
      </c>
      <c r="G23" s="13" t="s">
        <v>202</v>
      </c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40" t="s">
        <v>32</v>
      </c>
      <c r="B24" s="2" t="s">
        <v>38</v>
      </c>
      <c r="C24" s="35" t="s">
        <v>201</v>
      </c>
      <c r="D24" s="10" t="s">
        <v>197</v>
      </c>
      <c r="E24" s="46" t="s">
        <v>201</v>
      </c>
      <c r="F24" s="41" t="s">
        <v>36</v>
      </c>
      <c r="G24" s="13" t="s">
        <v>202</v>
      </c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40" t="s">
        <v>33</v>
      </c>
      <c r="B25" s="2" t="s">
        <v>24</v>
      </c>
      <c r="C25" s="35" t="s">
        <v>36</v>
      </c>
      <c r="D25" s="10" t="s">
        <v>197</v>
      </c>
      <c r="E25" s="46" t="s">
        <v>36</v>
      </c>
      <c r="F25" s="41" t="s">
        <v>36</v>
      </c>
      <c r="G25" s="13" t="s">
        <v>202</v>
      </c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39" t="s">
        <v>34</v>
      </c>
      <c r="B26" s="8" t="s">
        <v>39</v>
      </c>
      <c r="C26" s="35" t="s">
        <v>201</v>
      </c>
      <c r="D26" s="10" t="s">
        <v>197</v>
      </c>
      <c r="E26" s="46" t="s">
        <v>201</v>
      </c>
      <c r="F26" s="41" t="s">
        <v>36</v>
      </c>
      <c r="G26" s="13" t="s">
        <v>202</v>
      </c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40">
        <v>203025001100</v>
      </c>
      <c r="B27" s="2" t="s">
        <v>23</v>
      </c>
      <c r="C27" s="35" t="s">
        <v>36</v>
      </c>
      <c r="D27" s="10" t="s">
        <v>197</v>
      </c>
      <c r="E27" s="46" t="s">
        <v>201</v>
      </c>
      <c r="F27" s="41" t="s">
        <v>36</v>
      </c>
      <c r="G27" s="13" t="s">
        <v>202</v>
      </c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40">
        <v>203012000200</v>
      </c>
      <c r="B28" s="2" t="s">
        <v>40</v>
      </c>
      <c r="C28" s="35" t="s">
        <v>36</v>
      </c>
      <c r="D28" s="10" t="s">
        <v>197</v>
      </c>
      <c r="E28" s="46" t="s">
        <v>201</v>
      </c>
      <c r="F28" s="50" t="s">
        <v>201</v>
      </c>
      <c r="G28" s="13" t="s">
        <v>202</v>
      </c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41" t="s">
        <v>36</v>
      </c>
      <c r="B29" s="2" t="s">
        <v>35</v>
      </c>
      <c r="C29" s="35" t="s">
        <v>203</v>
      </c>
      <c r="D29" s="10" t="s">
        <v>197</v>
      </c>
      <c r="E29" s="46" t="s">
        <v>203</v>
      </c>
      <c r="F29" s="41" t="s">
        <v>36</v>
      </c>
      <c r="G29" s="13" t="s">
        <v>202</v>
      </c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39" t="s">
        <v>41</v>
      </c>
      <c r="B30" s="8" t="s">
        <v>89</v>
      </c>
      <c r="C30" s="36" t="s">
        <v>201</v>
      </c>
      <c r="D30" s="11" t="s">
        <v>197</v>
      </c>
      <c r="E30" s="47" t="s">
        <v>201</v>
      </c>
      <c r="F30" s="51" t="s">
        <v>36</v>
      </c>
      <c r="G30" s="16" t="s">
        <v>202</v>
      </c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40" t="s">
        <v>90</v>
      </c>
      <c r="B31" s="2" t="s">
        <v>48</v>
      </c>
      <c r="C31" s="35" t="s">
        <v>201</v>
      </c>
      <c r="D31" s="10" t="s">
        <v>197</v>
      </c>
      <c r="E31" s="46" t="s">
        <v>201</v>
      </c>
      <c r="F31" s="41" t="s">
        <v>36</v>
      </c>
      <c r="G31" s="13" t="s">
        <v>202</v>
      </c>
    </row>
    <row r="32" spans="1:18" x14ac:dyDescent="0.25">
      <c r="A32" s="40" t="s">
        <v>42</v>
      </c>
      <c r="B32" s="2" t="s">
        <v>49</v>
      </c>
      <c r="C32" s="35" t="s">
        <v>36</v>
      </c>
      <c r="D32" s="10" t="s">
        <v>197</v>
      </c>
      <c r="E32" s="46" t="s">
        <v>36</v>
      </c>
      <c r="F32" s="41" t="s">
        <v>36</v>
      </c>
      <c r="G32" s="13" t="s">
        <v>202</v>
      </c>
    </row>
    <row r="33" spans="1:7" x14ac:dyDescent="0.25">
      <c r="A33" s="42" t="s">
        <v>204</v>
      </c>
      <c r="B33" s="2" t="s">
        <v>50</v>
      </c>
      <c r="C33" s="35" t="s">
        <v>36</v>
      </c>
      <c r="D33" s="12" t="s">
        <v>199</v>
      </c>
      <c r="E33" s="46" t="s">
        <v>201</v>
      </c>
      <c r="F33" s="41" t="s">
        <v>36</v>
      </c>
      <c r="G33" s="2" t="s">
        <v>36</v>
      </c>
    </row>
    <row r="34" spans="1:7" x14ac:dyDescent="0.25">
      <c r="A34" s="42" t="s">
        <v>211</v>
      </c>
      <c r="B34" s="2" t="s">
        <v>51</v>
      </c>
      <c r="C34" s="35" t="s">
        <v>36</v>
      </c>
      <c r="D34" s="10" t="s">
        <v>197</v>
      </c>
      <c r="E34" s="46" t="s">
        <v>201</v>
      </c>
      <c r="F34" s="41" t="s">
        <v>36</v>
      </c>
      <c r="G34" s="13" t="s">
        <v>202</v>
      </c>
    </row>
    <row r="35" spans="1:7" x14ac:dyDescent="0.25">
      <c r="A35" s="40" t="s">
        <v>43</v>
      </c>
      <c r="B35" s="2" t="s">
        <v>52</v>
      </c>
      <c r="C35" s="35" t="s">
        <v>201</v>
      </c>
      <c r="D35" s="10" t="s">
        <v>197</v>
      </c>
      <c r="E35" s="46" t="s">
        <v>201</v>
      </c>
      <c r="F35" s="41" t="s">
        <v>36</v>
      </c>
      <c r="G35" s="13" t="s">
        <v>202</v>
      </c>
    </row>
    <row r="36" spans="1:7" x14ac:dyDescent="0.25">
      <c r="A36" s="40">
        <v>203076001000</v>
      </c>
      <c r="B36" s="2" t="s">
        <v>53</v>
      </c>
      <c r="C36" s="35" t="s">
        <v>36</v>
      </c>
      <c r="D36" s="10" t="s">
        <v>197</v>
      </c>
      <c r="E36" s="46" t="s">
        <v>201</v>
      </c>
      <c r="F36" s="41" t="s">
        <v>36</v>
      </c>
      <c r="G36" s="13" t="s">
        <v>202</v>
      </c>
    </row>
    <row r="37" spans="1:7" x14ac:dyDescent="0.25">
      <c r="A37" s="40" t="s">
        <v>44</v>
      </c>
      <c r="B37" s="2" t="s">
        <v>54</v>
      </c>
      <c r="C37" s="35" t="s">
        <v>36</v>
      </c>
      <c r="D37" s="10" t="s">
        <v>197</v>
      </c>
      <c r="E37" s="46" t="s">
        <v>201</v>
      </c>
      <c r="F37" s="41" t="s">
        <v>36</v>
      </c>
      <c r="G37" s="13" t="s">
        <v>202</v>
      </c>
    </row>
    <row r="38" spans="1:7" x14ac:dyDescent="0.25">
      <c r="A38" s="42" t="s">
        <v>207</v>
      </c>
      <c r="B38" s="2" t="s">
        <v>55</v>
      </c>
      <c r="C38" s="35" t="s">
        <v>36</v>
      </c>
      <c r="D38" s="12" t="s">
        <v>199</v>
      </c>
      <c r="E38" s="46" t="s">
        <v>201</v>
      </c>
      <c r="F38" s="41" t="s">
        <v>36</v>
      </c>
      <c r="G38" s="13" t="s">
        <v>202</v>
      </c>
    </row>
    <row r="39" spans="1:7" x14ac:dyDescent="0.25">
      <c r="A39" s="42" t="s">
        <v>208</v>
      </c>
      <c r="B39" s="2" t="s">
        <v>56</v>
      </c>
      <c r="C39" s="35" t="s">
        <v>36</v>
      </c>
      <c r="D39" s="12" t="s">
        <v>199</v>
      </c>
      <c r="E39" s="46" t="s">
        <v>201</v>
      </c>
      <c r="F39" s="41" t="s">
        <v>36</v>
      </c>
      <c r="G39" s="13" t="s">
        <v>202</v>
      </c>
    </row>
    <row r="40" spans="1:7" x14ac:dyDescent="0.25">
      <c r="A40" s="40" t="s">
        <v>45</v>
      </c>
      <c r="B40" s="2" t="s">
        <v>57</v>
      </c>
      <c r="C40" s="35" t="s">
        <v>36</v>
      </c>
      <c r="D40" s="12" t="s">
        <v>199</v>
      </c>
      <c r="E40" s="46" t="s">
        <v>201</v>
      </c>
      <c r="F40" s="41" t="s">
        <v>36</v>
      </c>
      <c r="G40" s="2" t="s">
        <v>36</v>
      </c>
    </row>
    <row r="41" spans="1:7" x14ac:dyDescent="0.25">
      <c r="A41" s="40" t="s">
        <v>46</v>
      </c>
      <c r="B41" s="2" t="s">
        <v>58</v>
      </c>
      <c r="C41" s="35" t="s">
        <v>36</v>
      </c>
      <c r="D41" s="10" t="s">
        <v>197</v>
      </c>
      <c r="E41" s="46" t="s">
        <v>36</v>
      </c>
      <c r="F41" s="50" t="s">
        <v>201</v>
      </c>
      <c r="G41" s="13" t="s">
        <v>202</v>
      </c>
    </row>
    <row r="42" spans="1:7" x14ac:dyDescent="0.25">
      <c r="A42" s="42" t="s">
        <v>209</v>
      </c>
      <c r="B42" s="2" t="s">
        <v>59</v>
      </c>
      <c r="C42" s="35" t="s">
        <v>36</v>
      </c>
      <c r="D42" s="10" t="s">
        <v>197</v>
      </c>
      <c r="E42" s="46" t="s">
        <v>201</v>
      </c>
      <c r="F42" s="50" t="s">
        <v>201</v>
      </c>
      <c r="G42" s="13" t="s">
        <v>202</v>
      </c>
    </row>
    <row r="43" spans="1:7" x14ac:dyDescent="0.25">
      <c r="A43" s="40" t="s">
        <v>47</v>
      </c>
      <c r="B43" s="2" t="s">
        <v>60</v>
      </c>
      <c r="C43" s="35" t="s">
        <v>201</v>
      </c>
      <c r="D43" s="10" t="s">
        <v>197</v>
      </c>
      <c r="E43" s="46" t="s">
        <v>201</v>
      </c>
      <c r="F43" s="50" t="s">
        <v>201</v>
      </c>
      <c r="G43" s="2" t="s">
        <v>36</v>
      </c>
    </row>
    <row r="44" spans="1:7" x14ac:dyDescent="0.25">
      <c r="A44" s="39" t="s">
        <v>2</v>
      </c>
      <c r="B44" s="9" t="s">
        <v>4</v>
      </c>
      <c r="C44" s="34" t="s">
        <v>203</v>
      </c>
      <c r="D44" s="8" t="s">
        <v>203</v>
      </c>
      <c r="E44" s="45" t="s">
        <v>203</v>
      </c>
      <c r="F44" s="49" t="s">
        <v>203</v>
      </c>
      <c r="G44" s="8" t="s">
        <v>203</v>
      </c>
    </row>
    <row r="45" spans="1:7" x14ac:dyDescent="0.25">
      <c r="A45" s="40" t="s">
        <v>61</v>
      </c>
      <c r="B45" s="14" t="s">
        <v>72</v>
      </c>
      <c r="C45" s="35" t="s">
        <v>36</v>
      </c>
      <c r="D45" s="10" t="s">
        <v>197</v>
      </c>
      <c r="E45" s="46" t="s">
        <v>36</v>
      </c>
      <c r="F45" s="41" t="s">
        <v>36</v>
      </c>
      <c r="G45" s="13" t="s">
        <v>202</v>
      </c>
    </row>
    <row r="46" spans="1:7" x14ac:dyDescent="0.25">
      <c r="A46" s="37" t="s">
        <v>204</v>
      </c>
      <c r="B46" s="2" t="s">
        <v>49</v>
      </c>
      <c r="C46" s="35" t="s">
        <v>36</v>
      </c>
      <c r="D46" s="10" t="s">
        <v>197</v>
      </c>
      <c r="E46" s="46" t="s">
        <v>201</v>
      </c>
      <c r="F46" s="41" t="s">
        <v>36</v>
      </c>
      <c r="G46" s="13" t="s">
        <v>202</v>
      </c>
    </row>
    <row r="47" spans="1:7" x14ac:dyDescent="0.25">
      <c r="A47" s="40" t="s">
        <v>62</v>
      </c>
      <c r="B47" s="2" t="s">
        <v>73</v>
      </c>
      <c r="C47" s="35" t="s">
        <v>201</v>
      </c>
      <c r="D47" s="10" t="s">
        <v>197</v>
      </c>
      <c r="E47" s="46" t="s">
        <v>201</v>
      </c>
      <c r="F47" s="50" t="s">
        <v>201</v>
      </c>
      <c r="G47" s="2" t="s">
        <v>36</v>
      </c>
    </row>
    <row r="48" spans="1:7" x14ac:dyDescent="0.25">
      <c r="A48" s="40" t="s">
        <v>63</v>
      </c>
      <c r="B48" s="2" t="s">
        <v>74</v>
      </c>
      <c r="C48" s="35" t="s">
        <v>201</v>
      </c>
      <c r="D48" s="12" t="s">
        <v>199</v>
      </c>
      <c r="E48" s="46" t="s">
        <v>201</v>
      </c>
      <c r="F48" s="41" t="s">
        <v>36</v>
      </c>
      <c r="G48" s="2" t="s">
        <v>36</v>
      </c>
    </row>
    <row r="49" spans="1:7" x14ac:dyDescent="0.25">
      <c r="A49" s="42" t="s">
        <v>205</v>
      </c>
      <c r="B49" s="2" t="s">
        <v>51</v>
      </c>
      <c r="C49" s="35" t="s">
        <v>36</v>
      </c>
      <c r="D49" s="10" t="s">
        <v>197</v>
      </c>
      <c r="E49" s="46" t="s">
        <v>36</v>
      </c>
      <c r="F49" s="50" t="s">
        <v>201</v>
      </c>
      <c r="G49" s="2" t="s">
        <v>36</v>
      </c>
    </row>
    <row r="50" spans="1:7" x14ac:dyDescent="0.25">
      <c r="A50" s="40" t="s">
        <v>64</v>
      </c>
      <c r="B50" s="2" t="s">
        <v>75</v>
      </c>
      <c r="C50" s="35" t="s">
        <v>36</v>
      </c>
      <c r="D50" s="10" t="s">
        <v>197</v>
      </c>
      <c r="E50" s="46" t="s">
        <v>36</v>
      </c>
      <c r="F50" s="50" t="s">
        <v>201</v>
      </c>
      <c r="G50" s="2" t="s">
        <v>36</v>
      </c>
    </row>
    <row r="51" spans="1:7" x14ac:dyDescent="0.25">
      <c r="A51" s="40" t="s">
        <v>44</v>
      </c>
      <c r="B51" s="2" t="s">
        <v>54</v>
      </c>
      <c r="C51" s="35" t="s">
        <v>36</v>
      </c>
      <c r="D51" s="10" t="s">
        <v>197</v>
      </c>
      <c r="E51" s="46" t="s">
        <v>201</v>
      </c>
      <c r="F51" s="50" t="s">
        <v>201</v>
      </c>
      <c r="G51" s="2" t="s">
        <v>36</v>
      </c>
    </row>
    <row r="52" spans="1:7" x14ac:dyDescent="0.25">
      <c r="A52" s="42" t="s">
        <v>206</v>
      </c>
      <c r="B52" s="2" t="s">
        <v>76</v>
      </c>
      <c r="C52" s="35" t="s">
        <v>36</v>
      </c>
      <c r="D52" s="12" t="s">
        <v>199</v>
      </c>
      <c r="E52" s="46" t="s">
        <v>201</v>
      </c>
      <c r="F52" s="41" t="s">
        <v>36</v>
      </c>
      <c r="G52" s="2" t="s">
        <v>36</v>
      </c>
    </row>
    <row r="53" spans="1:7" x14ac:dyDescent="0.25">
      <c r="A53" s="37" t="s">
        <v>207</v>
      </c>
      <c r="B53" s="2" t="s">
        <v>55</v>
      </c>
      <c r="C53" s="35" t="s">
        <v>36</v>
      </c>
      <c r="D53" s="12" t="s">
        <v>199</v>
      </c>
      <c r="E53" s="46" t="s">
        <v>201</v>
      </c>
      <c r="F53" s="41" t="s">
        <v>36</v>
      </c>
      <c r="G53" s="2" t="s">
        <v>36</v>
      </c>
    </row>
    <row r="54" spans="1:7" x14ac:dyDescent="0.25">
      <c r="A54" s="37" t="s">
        <v>208</v>
      </c>
      <c r="B54" s="2" t="s">
        <v>56</v>
      </c>
      <c r="C54" s="35" t="s">
        <v>36</v>
      </c>
      <c r="D54" s="12" t="s">
        <v>199</v>
      </c>
      <c r="E54" s="46" t="s">
        <v>201</v>
      </c>
      <c r="F54" s="41" t="s">
        <v>36</v>
      </c>
      <c r="G54" s="2" t="s">
        <v>36</v>
      </c>
    </row>
    <row r="55" spans="1:7" x14ac:dyDescent="0.25">
      <c r="A55" s="40" t="s">
        <v>65</v>
      </c>
      <c r="B55" s="2" t="s">
        <v>77</v>
      </c>
      <c r="C55" s="35" t="s">
        <v>36</v>
      </c>
      <c r="D55" s="10" t="s">
        <v>197</v>
      </c>
      <c r="E55" s="46" t="s">
        <v>36</v>
      </c>
      <c r="F55" s="50" t="s">
        <v>201</v>
      </c>
      <c r="G55" s="13" t="s">
        <v>202</v>
      </c>
    </row>
    <row r="56" spans="1:7" x14ac:dyDescent="0.25">
      <c r="A56" s="40" t="s">
        <v>46</v>
      </c>
      <c r="B56" s="2" t="s">
        <v>78</v>
      </c>
      <c r="C56" s="35" t="s">
        <v>36</v>
      </c>
      <c r="D56" s="10" t="s">
        <v>197</v>
      </c>
      <c r="E56" s="46" t="s">
        <v>36</v>
      </c>
      <c r="F56" s="50" t="s">
        <v>201</v>
      </c>
      <c r="G56" s="13" t="s">
        <v>202</v>
      </c>
    </row>
    <row r="57" spans="1:7" x14ac:dyDescent="0.25">
      <c r="A57" s="40">
        <v>203020004500</v>
      </c>
      <c r="B57" s="2" t="s">
        <v>79</v>
      </c>
      <c r="C57" s="35" t="s">
        <v>201</v>
      </c>
      <c r="D57" s="12" t="s">
        <v>199</v>
      </c>
      <c r="E57" s="46" t="s">
        <v>201</v>
      </c>
      <c r="F57" s="41" t="s">
        <v>36</v>
      </c>
      <c r="G57" s="2" t="s">
        <v>36</v>
      </c>
    </row>
    <row r="58" spans="1:7" x14ac:dyDescent="0.25">
      <c r="A58" s="40" t="s">
        <v>66</v>
      </c>
      <c r="B58" s="2" t="s">
        <v>80</v>
      </c>
      <c r="C58" s="35" t="s">
        <v>36</v>
      </c>
      <c r="D58" s="10" t="s">
        <v>197</v>
      </c>
      <c r="E58" s="46" t="s">
        <v>36</v>
      </c>
      <c r="F58" s="41" t="s">
        <v>36</v>
      </c>
      <c r="G58" s="13" t="s">
        <v>202</v>
      </c>
    </row>
    <row r="59" spans="1:7" x14ac:dyDescent="0.25">
      <c r="A59" s="42" t="s">
        <v>209</v>
      </c>
      <c r="B59" s="2" t="s">
        <v>81</v>
      </c>
      <c r="C59" s="35" t="s">
        <v>36</v>
      </c>
      <c r="D59" s="10" t="s">
        <v>197</v>
      </c>
      <c r="E59" s="46" t="s">
        <v>201</v>
      </c>
      <c r="F59" s="50" t="s">
        <v>201</v>
      </c>
      <c r="G59" s="2" t="s">
        <v>36</v>
      </c>
    </row>
    <row r="60" spans="1:7" x14ac:dyDescent="0.25">
      <c r="A60" s="40">
        <v>203065094300</v>
      </c>
      <c r="B60" s="2" t="s">
        <v>82</v>
      </c>
      <c r="C60" s="35" t="s">
        <v>36</v>
      </c>
      <c r="D60" s="10" t="s">
        <v>197</v>
      </c>
      <c r="E60" s="46" t="s">
        <v>36</v>
      </c>
      <c r="F60" s="50" t="s">
        <v>201</v>
      </c>
      <c r="G60" s="2" t="s">
        <v>36</v>
      </c>
    </row>
    <row r="61" spans="1:7" x14ac:dyDescent="0.25">
      <c r="A61" s="40" t="s">
        <v>67</v>
      </c>
      <c r="B61" s="2" t="s">
        <v>83</v>
      </c>
      <c r="C61" s="35" t="s">
        <v>201</v>
      </c>
      <c r="D61" s="12" t="s">
        <v>199</v>
      </c>
      <c r="E61" s="46" t="s">
        <v>201</v>
      </c>
      <c r="F61" s="41" t="s">
        <v>36</v>
      </c>
      <c r="G61" s="2" t="s">
        <v>36</v>
      </c>
    </row>
    <row r="62" spans="1:7" x14ac:dyDescent="0.25">
      <c r="A62" s="40" t="s">
        <v>68</v>
      </c>
      <c r="B62" s="2" t="s">
        <v>84</v>
      </c>
      <c r="C62" s="35" t="s">
        <v>201</v>
      </c>
      <c r="D62" s="12" t="s">
        <v>199</v>
      </c>
      <c r="E62" s="46" t="s">
        <v>201</v>
      </c>
      <c r="F62" s="41" t="s">
        <v>36</v>
      </c>
      <c r="G62" s="2" t="s">
        <v>36</v>
      </c>
    </row>
    <row r="63" spans="1:7" x14ac:dyDescent="0.25">
      <c r="A63" s="40" t="s">
        <v>69</v>
      </c>
      <c r="B63" s="2" t="s">
        <v>49</v>
      </c>
      <c r="C63" s="35" t="s">
        <v>201</v>
      </c>
      <c r="D63" s="12" t="s">
        <v>199</v>
      </c>
      <c r="E63" s="46" t="s">
        <v>201</v>
      </c>
      <c r="F63" s="41" t="s">
        <v>36</v>
      </c>
      <c r="G63" s="2" t="s">
        <v>36</v>
      </c>
    </row>
    <row r="64" spans="1:7" x14ac:dyDescent="0.25">
      <c r="A64" s="40" t="s">
        <v>70</v>
      </c>
      <c r="B64" s="2" t="s">
        <v>85</v>
      </c>
      <c r="C64" s="35" t="s">
        <v>201</v>
      </c>
      <c r="D64" s="10" t="s">
        <v>197</v>
      </c>
      <c r="E64" s="46" t="s">
        <v>201</v>
      </c>
      <c r="F64" s="41" t="s">
        <v>36</v>
      </c>
      <c r="G64" s="13" t="s">
        <v>202</v>
      </c>
    </row>
    <row r="65" spans="1:7" x14ac:dyDescent="0.25">
      <c r="A65" s="40" t="s">
        <v>71</v>
      </c>
      <c r="B65" s="2" t="s">
        <v>86</v>
      </c>
      <c r="C65" s="35" t="s">
        <v>36</v>
      </c>
      <c r="D65" s="12" t="s">
        <v>199</v>
      </c>
      <c r="E65" s="46" t="s">
        <v>36</v>
      </c>
      <c r="F65" s="41" t="s">
        <v>36</v>
      </c>
      <c r="G65" s="2" t="s">
        <v>36</v>
      </c>
    </row>
    <row r="66" spans="1:7" x14ac:dyDescent="0.25">
      <c r="A66" s="39" t="s">
        <v>11</v>
      </c>
      <c r="B66" s="9" t="s">
        <v>5</v>
      </c>
      <c r="C66" s="34" t="s">
        <v>203</v>
      </c>
      <c r="D66" s="8" t="s">
        <v>203</v>
      </c>
      <c r="E66" s="45" t="s">
        <v>203</v>
      </c>
      <c r="F66" s="49" t="s">
        <v>203</v>
      </c>
      <c r="G66" s="8" t="s">
        <v>203</v>
      </c>
    </row>
    <row r="67" spans="1:7" x14ac:dyDescent="0.25">
      <c r="A67" s="40">
        <v>203058026700</v>
      </c>
      <c r="B67" s="14" t="s">
        <v>92</v>
      </c>
      <c r="C67" s="35" t="s">
        <v>36</v>
      </c>
      <c r="D67" s="10" t="s">
        <v>197</v>
      </c>
      <c r="E67" s="46" t="s">
        <v>36</v>
      </c>
      <c r="F67" s="41" t="s">
        <v>36</v>
      </c>
      <c r="G67" s="13" t="s">
        <v>202</v>
      </c>
    </row>
    <row r="68" spans="1:7" x14ac:dyDescent="0.25">
      <c r="A68" s="40">
        <v>203012000100</v>
      </c>
      <c r="B68" s="14" t="s">
        <v>93</v>
      </c>
      <c r="C68" s="35" t="s">
        <v>36</v>
      </c>
      <c r="D68" s="12" t="s">
        <v>199</v>
      </c>
      <c r="E68" s="46" t="s">
        <v>201</v>
      </c>
      <c r="F68" s="41" t="s">
        <v>36</v>
      </c>
      <c r="G68" s="2" t="s">
        <v>36</v>
      </c>
    </row>
    <row r="69" spans="1:7" x14ac:dyDescent="0.25">
      <c r="A69" s="40">
        <v>203038001900</v>
      </c>
      <c r="B69" s="14" t="s">
        <v>37</v>
      </c>
      <c r="C69" s="35" t="s">
        <v>36</v>
      </c>
      <c r="D69" s="12" t="s">
        <v>199</v>
      </c>
      <c r="E69" s="46" t="s">
        <v>36</v>
      </c>
      <c r="F69" s="41" t="s">
        <v>36</v>
      </c>
      <c r="G69" s="2" t="s">
        <v>36</v>
      </c>
    </row>
    <row r="70" spans="1:7" x14ac:dyDescent="0.25">
      <c r="A70" s="40">
        <v>203012000200</v>
      </c>
      <c r="B70" s="14" t="s">
        <v>94</v>
      </c>
      <c r="C70" s="35" t="s">
        <v>36</v>
      </c>
      <c r="D70" s="12" t="s">
        <v>199</v>
      </c>
      <c r="E70" s="46" t="s">
        <v>201</v>
      </c>
      <c r="F70" s="41" t="s">
        <v>36</v>
      </c>
      <c r="G70" s="2" t="s">
        <v>36</v>
      </c>
    </row>
    <row r="71" spans="1:7" x14ac:dyDescent="0.25">
      <c r="A71" s="40">
        <v>203038002400</v>
      </c>
      <c r="B71" s="14" t="s">
        <v>37</v>
      </c>
      <c r="C71" s="35" t="s">
        <v>36</v>
      </c>
      <c r="D71" s="12" t="s">
        <v>199</v>
      </c>
      <c r="E71" s="46" t="s">
        <v>36</v>
      </c>
      <c r="F71" s="41" t="s">
        <v>36</v>
      </c>
      <c r="G71" s="2" t="s">
        <v>36</v>
      </c>
    </row>
    <row r="72" spans="1:7" x14ac:dyDescent="0.25">
      <c r="A72" s="40" t="s">
        <v>91</v>
      </c>
      <c r="B72" s="14" t="s">
        <v>78</v>
      </c>
      <c r="C72" s="35" t="s">
        <v>36</v>
      </c>
      <c r="D72" s="10" t="s">
        <v>197</v>
      </c>
      <c r="E72" s="46" t="s">
        <v>36</v>
      </c>
      <c r="F72" s="41" t="s">
        <v>36</v>
      </c>
      <c r="G72" s="13" t="s">
        <v>202</v>
      </c>
    </row>
    <row r="73" spans="1:7" x14ac:dyDescent="0.25">
      <c r="A73" s="40">
        <v>203065027700</v>
      </c>
      <c r="B73" s="14" t="s">
        <v>95</v>
      </c>
      <c r="C73" s="35" t="s">
        <v>201</v>
      </c>
      <c r="D73" s="10" t="s">
        <v>197</v>
      </c>
      <c r="E73" s="46" t="s">
        <v>201</v>
      </c>
      <c r="F73" s="41" t="s">
        <v>36</v>
      </c>
      <c r="G73" s="13" t="s">
        <v>202</v>
      </c>
    </row>
    <row r="74" spans="1:7" x14ac:dyDescent="0.25">
      <c r="A74" s="39" t="s">
        <v>13</v>
      </c>
      <c r="B74" s="9" t="s">
        <v>7</v>
      </c>
      <c r="C74" s="34" t="s">
        <v>203</v>
      </c>
      <c r="D74" s="8" t="s">
        <v>203</v>
      </c>
      <c r="E74" s="45" t="s">
        <v>203</v>
      </c>
      <c r="F74" s="49" t="s">
        <v>203</v>
      </c>
      <c r="G74" s="8" t="s">
        <v>203</v>
      </c>
    </row>
    <row r="75" spans="1:7" x14ac:dyDescent="0.25">
      <c r="A75" s="40" t="s">
        <v>102</v>
      </c>
      <c r="B75" s="14" t="s">
        <v>96</v>
      </c>
      <c r="C75" s="35" t="s">
        <v>36</v>
      </c>
      <c r="D75" s="10" t="s">
        <v>197</v>
      </c>
      <c r="E75" s="46" t="s">
        <v>201</v>
      </c>
      <c r="F75" s="50" t="s">
        <v>201</v>
      </c>
      <c r="G75" s="13" t="s">
        <v>202</v>
      </c>
    </row>
    <row r="76" spans="1:7" x14ac:dyDescent="0.25">
      <c r="A76" s="40">
        <v>203052001000</v>
      </c>
      <c r="B76" s="14" t="s">
        <v>97</v>
      </c>
      <c r="C76" s="35" t="s">
        <v>36</v>
      </c>
      <c r="D76" s="12" t="s">
        <v>199</v>
      </c>
      <c r="E76" s="46" t="s">
        <v>36</v>
      </c>
      <c r="F76" s="41" t="s">
        <v>36</v>
      </c>
      <c r="G76" s="2" t="s">
        <v>36</v>
      </c>
    </row>
    <row r="77" spans="1:7" x14ac:dyDescent="0.25">
      <c r="A77" s="40" t="s">
        <v>103</v>
      </c>
      <c r="B77" s="14" t="s">
        <v>49</v>
      </c>
      <c r="C77" s="35" t="s">
        <v>36</v>
      </c>
      <c r="D77" s="10" t="s">
        <v>197</v>
      </c>
      <c r="E77" s="46" t="s">
        <v>201</v>
      </c>
      <c r="F77" s="50" t="s">
        <v>201</v>
      </c>
      <c r="G77" s="2" t="s">
        <v>36</v>
      </c>
    </row>
    <row r="78" spans="1:7" x14ac:dyDescent="0.25">
      <c r="A78" s="40" t="s">
        <v>104</v>
      </c>
      <c r="B78" s="14" t="s">
        <v>98</v>
      </c>
      <c r="C78" s="35" t="s">
        <v>36</v>
      </c>
      <c r="D78" s="10" t="s">
        <v>197</v>
      </c>
      <c r="E78" s="46" t="s">
        <v>36</v>
      </c>
      <c r="F78" s="50" t="s">
        <v>201</v>
      </c>
      <c r="G78" s="13" t="s">
        <v>202</v>
      </c>
    </row>
    <row r="79" spans="1:7" x14ac:dyDescent="0.25">
      <c r="A79" s="40" t="s">
        <v>105</v>
      </c>
      <c r="B79" s="14" t="s">
        <v>99</v>
      </c>
      <c r="C79" s="35" t="s">
        <v>36</v>
      </c>
      <c r="D79" s="12" t="s">
        <v>199</v>
      </c>
      <c r="E79" s="46" t="s">
        <v>36</v>
      </c>
      <c r="F79" s="41" t="s">
        <v>36</v>
      </c>
      <c r="G79" s="2" t="s">
        <v>36</v>
      </c>
    </row>
    <row r="80" spans="1:7" x14ac:dyDescent="0.25">
      <c r="A80" s="40">
        <v>260001001500</v>
      </c>
      <c r="B80" s="14" t="s">
        <v>100</v>
      </c>
      <c r="C80" s="35" t="s">
        <v>36</v>
      </c>
      <c r="D80" s="10" t="s">
        <v>197</v>
      </c>
      <c r="E80" s="46" t="s">
        <v>36</v>
      </c>
      <c r="F80" s="50" t="s">
        <v>201</v>
      </c>
      <c r="G80" s="2" t="s">
        <v>36</v>
      </c>
    </row>
    <row r="81" spans="1:7" x14ac:dyDescent="0.25">
      <c r="A81" s="40" t="s">
        <v>106</v>
      </c>
      <c r="B81" s="14" t="s">
        <v>101</v>
      </c>
      <c r="C81" s="35" t="s">
        <v>36</v>
      </c>
      <c r="D81" s="12" t="s">
        <v>199</v>
      </c>
      <c r="E81" s="46" t="s">
        <v>36</v>
      </c>
      <c r="F81" s="41" t="s">
        <v>36</v>
      </c>
      <c r="G81" s="2" t="s">
        <v>36</v>
      </c>
    </row>
    <row r="82" spans="1:7" x14ac:dyDescent="0.25">
      <c r="A82" s="39">
        <v>260001001500</v>
      </c>
      <c r="B82" s="15" t="s">
        <v>107</v>
      </c>
      <c r="C82" s="34" t="s">
        <v>203</v>
      </c>
      <c r="D82" s="8" t="s">
        <v>203</v>
      </c>
      <c r="E82" s="45" t="s">
        <v>203</v>
      </c>
      <c r="F82" s="49" t="s">
        <v>203</v>
      </c>
      <c r="G82" s="8" t="s">
        <v>203</v>
      </c>
    </row>
    <row r="83" spans="1:7" x14ac:dyDescent="0.25">
      <c r="A83" s="42" t="s">
        <v>212</v>
      </c>
      <c r="B83" s="14" t="s">
        <v>109</v>
      </c>
      <c r="C83" s="35" t="s">
        <v>36</v>
      </c>
      <c r="D83" s="10" t="s">
        <v>197</v>
      </c>
      <c r="E83" s="46" t="s">
        <v>36</v>
      </c>
      <c r="F83" s="41" t="s">
        <v>36</v>
      </c>
      <c r="G83" s="13" t="s">
        <v>202</v>
      </c>
    </row>
    <row r="84" spans="1:7" x14ac:dyDescent="0.25">
      <c r="A84" s="42" t="s">
        <v>213</v>
      </c>
      <c r="B84" s="14" t="s">
        <v>110</v>
      </c>
      <c r="C84" s="35" t="s">
        <v>36</v>
      </c>
      <c r="D84" s="10" t="s">
        <v>197</v>
      </c>
      <c r="E84" s="46" t="s">
        <v>36</v>
      </c>
      <c r="F84" s="50" t="s">
        <v>201</v>
      </c>
      <c r="G84" s="2" t="s">
        <v>36</v>
      </c>
    </row>
    <row r="85" spans="1:7" x14ac:dyDescent="0.25">
      <c r="A85" s="42" t="s">
        <v>214</v>
      </c>
      <c r="B85" s="14" t="s">
        <v>111</v>
      </c>
      <c r="C85" s="35" t="s">
        <v>36</v>
      </c>
      <c r="D85" s="10" t="s">
        <v>197</v>
      </c>
      <c r="E85" s="46" t="s">
        <v>36</v>
      </c>
      <c r="F85" s="50" t="s">
        <v>201</v>
      </c>
      <c r="G85" s="2" t="s">
        <v>36</v>
      </c>
    </row>
    <row r="86" spans="1:7" x14ac:dyDescent="0.25">
      <c r="A86" s="42" t="s">
        <v>215</v>
      </c>
      <c r="B86" s="14" t="s">
        <v>112</v>
      </c>
      <c r="C86" s="35" t="s">
        <v>36</v>
      </c>
      <c r="D86" s="10" t="s">
        <v>197</v>
      </c>
      <c r="E86" s="46" t="s">
        <v>36</v>
      </c>
      <c r="F86" s="50" t="s">
        <v>201</v>
      </c>
      <c r="G86" s="2" t="s">
        <v>36</v>
      </c>
    </row>
    <row r="87" spans="1:7" x14ac:dyDescent="0.25">
      <c r="A87" s="42" t="s">
        <v>216</v>
      </c>
      <c r="B87" s="14" t="s">
        <v>113</v>
      </c>
      <c r="C87" s="35" t="s">
        <v>36</v>
      </c>
      <c r="D87" s="10" t="s">
        <v>197</v>
      </c>
      <c r="E87" s="46" t="s">
        <v>36</v>
      </c>
      <c r="F87" s="50" t="s">
        <v>201</v>
      </c>
      <c r="G87" s="2" t="s">
        <v>36</v>
      </c>
    </row>
    <row r="88" spans="1:7" x14ac:dyDescent="0.25">
      <c r="A88" s="42" t="s">
        <v>217</v>
      </c>
      <c r="B88" s="14" t="s">
        <v>114</v>
      </c>
      <c r="C88" s="35" t="s">
        <v>36</v>
      </c>
      <c r="D88" s="10" t="s">
        <v>197</v>
      </c>
      <c r="E88" s="46" t="s">
        <v>36</v>
      </c>
      <c r="F88" s="50" t="s">
        <v>201</v>
      </c>
      <c r="G88" s="2" t="s">
        <v>36</v>
      </c>
    </row>
    <row r="89" spans="1:7" x14ac:dyDescent="0.25">
      <c r="A89" s="42" t="s">
        <v>218</v>
      </c>
      <c r="B89" s="14" t="s">
        <v>115</v>
      </c>
      <c r="C89" s="35" t="s">
        <v>36</v>
      </c>
      <c r="D89" s="10" t="s">
        <v>197</v>
      </c>
      <c r="E89" s="46" t="s">
        <v>36</v>
      </c>
      <c r="F89" s="50" t="s">
        <v>201</v>
      </c>
      <c r="G89" s="2" t="s">
        <v>36</v>
      </c>
    </row>
    <row r="90" spans="1:7" x14ac:dyDescent="0.25">
      <c r="A90" s="42" t="s">
        <v>219</v>
      </c>
      <c r="B90" s="14" t="s">
        <v>116</v>
      </c>
      <c r="C90" s="35" t="s">
        <v>36</v>
      </c>
      <c r="D90" s="10" t="s">
        <v>197</v>
      </c>
      <c r="E90" s="46" t="s">
        <v>36</v>
      </c>
      <c r="F90" s="50" t="s">
        <v>201</v>
      </c>
      <c r="G90" s="2" t="s">
        <v>36</v>
      </c>
    </row>
    <row r="91" spans="1:7" x14ac:dyDescent="0.25">
      <c r="A91" s="42" t="s">
        <v>220</v>
      </c>
      <c r="B91" s="14" t="s">
        <v>117</v>
      </c>
      <c r="C91" s="35" t="s">
        <v>36</v>
      </c>
      <c r="D91" s="10" t="s">
        <v>197</v>
      </c>
      <c r="E91" s="46" t="s">
        <v>36</v>
      </c>
      <c r="F91" s="50" t="s">
        <v>201</v>
      </c>
      <c r="G91" s="2" t="s">
        <v>36</v>
      </c>
    </row>
    <row r="92" spans="1:7" x14ac:dyDescent="0.25">
      <c r="A92" s="42" t="s">
        <v>221</v>
      </c>
      <c r="B92" s="14" t="s">
        <v>118</v>
      </c>
      <c r="C92" s="35" t="s">
        <v>36</v>
      </c>
      <c r="D92" s="10" t="s">
        <v>197</v>
      </c>
      <c r="E92" s="46" t="s">
        <v>36</v>
      </c>
      <c r="F92" s="50" t="s">
        <v>201</v>
      </c>
      <c r="G92" s="2" t="s">
        <v>36</v>
      </c>
    </row>
    <row r="93" spans="1:7" x14ac:dyDescent="0.25">
      <c r="A93" s="42" t="s">
        <v>222</v>
      </c>
      <c r="B93" s="14" t="s">
        <v>119</v>
      </c>
      <c r="C93" s="35" t="s">
        <v>36</v>
      </c>
      <c r="D93" s="10" t="s">
        <v>197</v>
      </c>
      <c r="E93" s="46" t="s">
        <v>201</v>
      </c>
      <c r="F93" s="50" t="s">
        <v>201</v>
      </c>
      <c r="G93" s="2" t="s">
        <v>36</v>
      </c>
    </row>
    <row r="94" spans="1:7" x14ac:dyDescent="0.25">
      <c r="A94" s="42" t="s">
        <v>223</v>
      </c>
      <c r="B94" s="14" t="s">
        <v>120</v>
      </c>
      <c r="C94" s="35" t="s">
        <v>36</v>
      </c>
      <c r="D94" s="10" t="s">
        <v>197</v>
      </c>
      <c r="E94" s="46" t="s">
        <v>201</v>
      </c>
      <c r="F94" s="41" t="s">
        <v>36</v>
      </c>
      <c r="G94" s="13" t="s">
        <v>202</v>
      </c>
    </row>
    <row r="95" spans="1:7" x14ac:dyDescent="0.25">
      <c r="A95" s="42" t="s">
        <v>224</v>
      </c>
      <c r="B95" s="14" t="s">
        <v>121</v>
      </c>
      <c r="C95" s="35" t="s">
        <v>36</v>
      </c>
      <c r="D95" s="10" t="s">
        <v>197</v>
      </c>
      <c r="E95" s="46" t="s">
        <v>201</v>
      </c>
      <c r="F95" s="50" t="s">
        <v>201</v>
      </c>
      <c r="G95" s="2" t="s">
        <v>36</v>
      </c>
    </row>
    <row r="96" spans="1:7" x14ac:dyDescent="0.25">
      <c r="A96" s="42" t="s">
        <v>225</v>
      </c>
      <c r="B96" s="14" t="s">
        <v>122</v>
      </c>
      <c r="C96" s="35" t="s">
        <v>36</v>
      </c>
      <c r="D96" s="10" t="s">
        <v>197</v>
      </c>
      <c r="E96" s="46" t="s">
        <v>201</v>
      </c>
      <c r="F96" s="50" t="s">
        <v>201</v>
      </c>
      <c r="G96" s="2" t="s">
        <v>36</v>
      </c>
    </row>
    <row r="97" spans="1:7" x14ac:dyDescent="0.25">
      <c r="A97" s="40">
        <v>203004005000</v>
      </c>
      <c r="B97" s="14" t="s">
        <v>123</v>
      </c>
      <c r="C97" s="35" t="s">
        <v>36</v>
      </c>
      <c r="D97" s="10" t="s">
        <v>197</v>
      </c>
      <c r="E97" s="46" t="s">
        <v>36</v>
      </c>
      <c r="F97" s="41" t="s">
        <v>36</v>
      </c>
      <c r="G97" s="13" t="s">
        <v>202</v>
      </c>
    </row>
    <row r="98" spans="1:7" x14ac:dyDescent="0.25">
      <c r="A98" s="40">
        <v>203006002300</v>
      </c>
      <c r="B98" s="14" t="s">
        <v>124</v>
      </c>
      <c r="C98" s="35" t="s">
        <v>36</v>
      </c>
      <c r="D98" s="10" t="s">
        <v>197</v>
      </c>
      <c r="E98" s="46" t="s">
        <v>201</v>
      </c>
      <c r="F98" s="41" t="s">
        <v>36</v>
      </c>
      <c r="G98" s="13" t="s">
        <v>202</v>
      </c>
    </row>
    <row r="99" spans="1:7" x14ac:dyDescent="0.25">
      <c r="A99" s="40">
        <v>203006002400</v>
      </c>
      <c r="B99" s="14" t="s">
        <v>125</v>
      </c>
      <c r="C99" s="35" t="s">
        <v>36</v>
      </c>
      <c r="D99" s="10" t="s">
        <v>197</v>
      </c>
      <c r="E99" s="46" t="s">
        <v>201</v>
      </c>
      <c r="F99" s="41" t="s">
        <v>36</v>
      </c>
      <c r="G99" s="13" t="s">
        <v>202</v>
      </c>
    </row>
    <row r="100" spans="1:7" x14ac:dyDescent="0.25">
      <c r="A100" s="40">
        <v>203009002700</v>
      </c>
      <c r="B100" s="14" t="s">
        <v>126</v>
      </c>
      <c r="C100" s="35" t="s">
        <v>36</v>
      </c>
      <c r="D100" s="10" t="s">
        <v>197</v>
      </c>
      <c r="E100" s="46" t="s">
        <v>201</v>
      </c>
      <c r="F100" s="50" t="s">
        <v>201</v>
      </c>
      <c r="G100" s="2" t="s">
        <v>36</v>
      </c>
    </row>
    <row r="101" spans="1:7" x14ac:dyDescent="0.25">
      <c r="A101" s="40">
        <v>203009002800</v>
      </c>
      <c r="B101" s="14" t="s">
        <v>126</v>
      </c>
      <c r="C101" s="35" t="s">
        <v>36</v>
      </c>
      <c r="D101" s="10" t="s">
        <v>197</v>
      </c>
      <c r="E101" s="46" t="s">
        <v>201</v>
      </c>
      <c r="F101" s="50" t="s">
        <v>201</v>
      </c>
      <c r="G101" s="2" t="s">
        <v>36</v>
      </c>
    </row>
    <row r="102" spans="1:7" x14ac:dyDescent="0.25">
      <c r="A102" s="40">
        <v>203014025500</v>
      </c>
      <c r="B102" s="14" t="s">
        <v>127</v>
      </c>
      <c r="C102" s="35" t="s">
        <v>36</v>
      </c>
      <c r="D102" s="12" t="s">
        <v>199</v>
      </c>
      <c r="E102" s="46" t="s">
        <v>201</v>
      </c>
      <c r="F102" s="41" t="s">
        <v>36</v>
      </c>
      <c r="G102" s="2" t="s">
        <v>36</v>
      </c>
    </row>
    <row r="103" spans="1:7" x14ac:dyDescent="0.25">
      <c r="A103" s="40">
        <v>203014030000</v>
      </c>
      <c r="B103" s="14" t="s">
        <v>128</v>
      </c>
      <c r="C103" s="35" t="s">
        <v>36</v>
      </c>
      <c r="D103" s="12" t="s">
        <v>199</v>
      </c>
      <c r="E103" s="46" t="s">
        <v>36</v>
      </c>
      <c r="F103" s="41" t="s">
        <v>36</v>
      </c>
      <c r="G103" s="2" t="s">
        <v>36</v>
      </c>
    </row>
    <row r="104" spans="1:7" x14ac:dyDescent="0.25">
      <c r="A104" s="40">
        <v>203046020900</v>
      </c>
      <c r="B104" s="14" t="s">
        <v>129</v>
      </c>
      <c r="C104" s="35" t="s">
        <v>36</v>
      </c>
      <c r="D104" s="10" t="s">
        <v>197</v>
      </c>
      <c r="E104" s="46" t="s">
        <v>201</v>
      </c>
      <c r="F104" s="50" t="s">
        <v>201</v>
      </c>
      <c r="G104" s="13" t="s">
        <v>202</v>
      </c>
    </row>
    <row r="105" spans="1:7" x14ac:dyDescent="0.25">
      <c r="A105" s="40">
        <v>203046021000</v>
      </c>
      <c r="B105" s="14" t="s">
        <v>130</v>
      </c>
      <c r="C105" s="35" t="s">
        <v>36</v>
      </c>
      <c r="D105" s="10" t="s">
        <v>197</v>
      </c>
      <c r="E105" s="46" t="s">
        <v>36</v>
      </c>
      <c r="F105" s="50" t="s">
        <v>201</v>
      </c>
      <c r="G105" s="13" t="s">
        <v>202</v>
      </c>
    </row>
    <row r="106" spans="1:7" x14ac:dyDescent="0.25">
      <c r="A106" s="40">
        <v>203059000200</v>
      </c>
      <c r="B106" s="14" t="s">
        <v>131</v>
      </c>
      <c r="C106" s="35" t="s">
        <v>36</v>
      </c>
      <c r="D106" s="10" t="s">
        <v>197</v>
      </c>
      <c r="E106" s="46" t="s">
        <v>201</v>
      </c>
      <c r="F106" s="50" t="s">
        <v>201</v>
      </c>
      <c r="G106" s="13" t="s">
        <v>202</v>
      </c>
    </row>
    <row r="107" spans="1:7" x14ac:dyDescent="0.25">
      <c r="A107" s="40">
        <v>203061002100</v>
      </c>
      <c r="B107" s="14" t="s">
        <v>132</v>
      </c>
      <c r="C107" s="35" t="s">
        <v>36</v>
      </c>
      <c r="D107" s="10" t="s">
        <v>197</v>
      </c>
      <c r="E107" s="46" t="s">
        <v>36</v>
      </c>
      <c r="F107" s="50" t="s">
        <v>201</v>
      </c>
      <c r="G107" s="13" t="s">
        <v>202</v>
      </c>
    </row>
    <row r="108" spans="1:7" x14ac:dyDescent="0.25">
      <c r="A108" s="40">
        <v>203063010000</v>
      </c>
      <c r="B108" s="14" t="s">
        <v>133</v>
      </c>
      <c r="C108" s="35" t="s">
        <v>36</v>
      </c>
      <c r="D108" s="10" t="s">
        <v>197</v>
      </c>
      <c r="E108" s="46" t="s">
        <v>36</v>
      </c>
      <c r="F108" s="41" t="s">
        <v>36</v>
      </c>
      <c r="G108" s="13" t="s">
        <v>202</v>
      </c>
    </row>
    <row r="109" spans="1:7" x14ac:dyDescent="0.25">
      <c r="A109" s="40">
        <v>203065039400</v>
      </c>
      <c r="B109" s="14" t="s">
        <v>108</v>
      </c>
      <c r="C109" s="35" t="s">
        <v>36</v>
      </c>
      <c r="D109" s="10" t="s">
        <v>197</v>
      </c>
      <c r="E109" s="46" t="s">
        <v>201</v>
      </c>
      <c r="F109" s="41" t="s">
        <v>36</v>
      </c>
      <c r="G109" s="13" t="s">
        <v>202</v>
      </c>
    </row>
    <row r="110" spans="1:7" x14ac:dyDescent="0.25">
      <c r="A110" s="40">
        <v>203065039500</v>
      </c>
      <c r="B110" s="14" t="s">
        <v>108</v>
      </c>
      <c r="C110" s="35" t="s">
        <v>36</v>
      </c>
      <c r="D110" s="10" t="s">
        <v>197</v>
      </c>
      <c r="E110" s="46" t="s">
        <v>201</v>
      </c>
      <c r="F110" s="41" t="s">
        <v>36</v>
      </c>
      <c r="G110" s="13" t="s">
        <v>202</v>
      </c>
    </row>
    <row r="111" spans="1:7" x14ac:dyDescent="0.25">
      <c r="A111" s="39" t="s">
        <v>14</v>
      </c>
      <c r="B111" s="15" t="s">
        <v>134</v>
      </c>
      <c r="C111" s="34" t="s">
        <v>203</v>
      </c>
      <c r="D111" s="8" t="s">
        <v>203</v>
      </c>
      <c r="E111" s="45" t="s">
        <v>203</v>
      </c>
      <c r="F111" s="49" t="s">
        <v>203</v>
      </c>
      <c r="G111" s="8" t="s">
        <v>203</v>
      </c>
    </row>
    <row r="112" spans="1:7" x14ac:dyDescent="0.25">
      <c r="A112" s="40">
        <v>260024000100</v>
      </c>
      <c r="B112" s="14" t="s">
        <v>140</v>
      </c>
      <c r="C112" s="35" t="s">
        <v>36</v>
      </c>
      <c r="D112" s="10" t="s">
        <v>197</v>
      </c>
      <c r="E112" s="46" t="s">
        <v>201</v>
      </c>
      <c r="F112" s="41" t="s">
        <v>36</v>
      </c>
      <c r="G112" s="13" t="s">
        <v>202</v>
      </c>
    </row>
    <row r="113" spans="1:7" x14ac:dyDescent="0.25">
      <c r="A113" s="40" t="s">
        <v>136</v>
      </c>
      <c r="B113" s="14" t="s">
        <v>141</v>
      </c>
      <c r="C113" s="35" t="s">
        <v>36</v>
      </c>
      <c r="D113" s="10" t="s">
        <v>197</v>
      </c>
      <c r="E113" s="46" t="s">
        <v>36</v>
      </c>
      <c r="F113" s="41" t="s">
        <v>36</v>
      </c>
      <c r="G113" s="13" t="s">
        <v>202</v>
      </c>
    </row>
    <row r="114" spans="1:7" x14ac:dyDescent="0.25">
      <c r="A114" s="42" t="s">
        <v>227</v>
      </c>
      <c r="B114" s="14" t="s">
        <v>142</v>
      </c>
      <c r="C114" s="35" t="s">
        <v>36</v>
      </c>
      <c r="D114" s="10" t="s">
        <v>197</v>
      </c>
      <c r="E114" s="46" t="s">
        <v>201</v>
      </c>
      <c r="F114" s="41" t="s">
        <v>36</v>
      </c>
      <c r="G114" s="13" t="s">
        <v>202</v>
      </c>
    </row>
    <row r="115" spans="1:7" x14ac:dyDescent="0.25">
      <c r="A115" s="42" t="s">
        <v>226</v>
      </c>
      <c r="B115" s="14" t="s">
        <v>143</v>
      </c>
      <c r="C115" s="35" t="s">
        <v>36</v>
      </c>
      <c r="D115" s="10" t="s">
        <v>197</v>
      </c>
      <c r="E115" s="46" t="s">
        <v>201</v>
      </c>
      <c r="F115" s="50" t="s">
        <v>201</v>
      </c>
      <c r="G115" s="13" t="s">
        <v>202</v>
      </c>
    </row>
    <row r="116" spans="1:7" x14ac:dyDescent="0.25">
      <c r="A116" s="40" t="s">
        <v>103</v>
      </c>
      <c r="B116" s="14" t="s">
        <v>49</v>
      </c>
      <c r="C116" s="35" t="s">
        <v>36</v>
      </c>
      <c r="D116" s="10" t="s">
        <v>197</v>
      </c>
      <c r="E116" s="46" t="s">
        <v>201</v>
      </c>
      <c r="F116" s="41" t="s">
        <v>36</v>
      </c>
      <c r="G116" s="13" t="s">
        <v>202</v>
      </c>
    </row>
    <row r="117" spans="1:7" x14ac:dyDescent="0.25">
      <c r="A117" s="40" t="s">
        <v>137</v>
      </c>
      <c r="B117" s="14" t="s">
        <v>144</v>
      </c>
      <c r="C117" s="35" t="s">
        <v>36</v>
      </c>
      <c r="D117" s="10" t="s">
        <v>197</v>
      </c>
      <c r="E117" s="46" t="s">
        <v>36</v>
      </c>
      <c r="F117" s="41" t="s">
        <v>36</v>
      </c>
      <c r="G117" s="13" t="s">
        <v>202</v>
      </c>
    </row>
    <row r="118" spans="1:7" x14ac:dyDescent="0.25">
      <c r="A118" s="40" t="s">
        <v>138</v>
      </c>
      <c r="B118" s="14" t="s">
        <v>145</v>
      </c>
      <c r="C118" s="35" t="s">
        <v>36</v>
      </c>
      <c r="D118" s="10" t="s">
        <v>197</v>
      </c>
      <c r="E118" s="46" t="s">
        <v>36</v>
      </c>
      <c r="F118" s="41" t="s">
        <v>36</v>
      </c>
      <c r="G118" s="13" t="s">
        <v>202</v>
      </c>
    </row>
    <row r="119" spans="1:7" x14ac:dyDescent="0.25">
      <c r="A119" s="40" t="s">
        <v>139</v>
      </c>
      <c r="B119" s="14" t="s">
        <v>146</v>
      </c>
      <c r="C119" s="35" t="s">
        <v>36</v>
      </c>
      <c r="D119" s="10" t="s">
        <v>197</v>
      </c>
      <c r="E119" s="46" t="s">
        <v>36</v>
      </c>
      <c r="F119" s="41" t="s">
        <v>36</v>
      </c>
      <c r="G119" s="13" t="s">
        <v>202</v>
      </c>
    </row>
    <row r="120" spans="1:7" x14ac:dyDescent="0.25">
      <c r="A120" s="40">
        <v>203032019700</v>
      </c>
      <c r="B120" s="14" t="s">
        <v>147</v>
      </c>
      <c r="C120" s="35" t="s">
        <v>36</v>
      </c>
      <c r="D120" s="10" t="s">
        <v>197</v>
      </c>
      <c r="E120" s="46" t="s">
        <v>201</v>
      </c>
      <c r="F120" s="50" t="s">
        <v>201</v>
      </c>
      <c r="G120" s="13" t="s">
        <v>202</v>
      </c>
    </row>
    <row r="121" spans="1:7" x14ac:dyDescent="0.25">
      <c r="A121" s="42" t="s">
        <v>228</v>
      </c>
      <c r="B121" s="14" t="s">
        <v>148</v>
      </c>
      <c r="C121" s="35" t="s">
        <v>36</v>
      </c>
      <c r="D121" s="10" t="s">
        <v>197</v>
      </c>
      <c r="E121" s="46" t="s">
        <v>201</v>
      </c>
      <c r="F121" s="50" t="s">
        <v>201</v>
      </c>
      <c r="G121" s="13" t="s">
        <v>202</v>
      </c>
    </row>
    <row r="122" spans="1:7" x14ac:dyDescent="0.25">
      <c r="A122" s="39" t="s">
        <v>15</v>
      </c>
      <c r="B122" s="15" t="s">
        <v>149</v>
      </c>
      <c r="C122" s="34" t="s">
        <v>203</v>
      </c>
      <c r="D122" s="8" t="s">
        <v>203</v>
      </c>
      <c r="E122" s="45" t="s">
        <v>203</v>
      </c>
      <c r="F122" s="49" t="s">
        <v>203</v>
      </c>
      <c r="G122" s="8" t="s">
        <v>203</v>
      </c>
    </row>
    <row r="123" spans="1:7" x14ac:dyDescent="0.25">
      <c r="A123" s="40" t="s">
        <v>150</v>
      </c>
      <c r="B123" s="14" t="s">
        <v>176</v>
      </c>
      <c r="C123" s="35" t="s">
        <v>36</v>
      </c>
      <c r="D123" s="10" t="s">
        <v>197</v>
      </c>
      <c r="E123" s="46" t="s">
        <v>36</v>
      </c>
      <c r="F123" s="41" t="s">
        <v>36</v>
      </c>
      <c r="G123" s="13" t="s">
        <v>202</v>
      </c>
    </row>
    <row r="124" spans="1:7" x14ac:dyDescent="0.25">
      <c r="A124" s="40" t="s">
        <v>151</v>
      </c>
      <c r="B124" s="14" t="s">
        <v>177</v>
      </c>
      <c r="C124" s="35" t="s">
        <v>36</v>
      </c>
      <c r="D124" s="10" t="s">
        <v>197</v>
      </c>
      <c r="E124" s="46" t="s">
        <v>36</v>
      </c>
      <c r="F124" s="41" t="s">
        <v>36</v>
      </c>
      <c r="G124" s="13" t="s">
        <v>202</v>
      </c>
    </row>
    <row r="125" spans="1:7" x14ac:dyDescent="0.25">
      <c r="A125" s="40" t="s">
        <v>152</v>
      </c>
      <c r="B125" s="14" t="s">
        <v>178</v>
      </c>
      <c r="C125" s="35" t="s">
        <v>36</v>
      </c>
      <c r="D125" s="10" t="s">
        <v>197</v>
      </c>
      <c r="E125" s="46" t="s">
        <v>36</v>
      </c>
      <c r="F125" s="41" t="s">
        <v>36</v>
      </c>
      <c r="G125" s="13" t="s">
        <v>202</v>
      </c>
    </row>
    <row r="126" spans="1:7" x14ac:dyDescent="0.25">
      <c r="A126" s="40" t="s">
        <v>153</v>
      </c>
      <c r="B126" s="14" t="s">
        <v>179</v>
      </c>
      <c r="C126" s="35" t="s">
        <v>201</v>
      </c>
      <c r="D126" s="12" t="s">
        <v>199</v>
      </c>
      <c r="E126" s="46" t="s">
        <v>201</v>
      </c>
      <c r="F126" s="41" t="s">
        <v>36</v>
      </c>
      <c r="G126" s="2" t="s">
        <v>36</v>
      </c>
    </row>
    <row r="127" spans="1:7" x14ac:dyDescent="0.25">
      <c r="A127" s="40" t="s">
        <v>154</v>
      </c>
      <c r="B127" s="14" t="s">
        <v>54</v>
      </c>
      <c r="C127" s="35" t="s">
        <v>36</v>
      </c>
      <c r="D127" s="12" t="s">
        <v>199</v>
      </c>
      <c r="E127" s="46" t="s">
        <v>36</v>
      </c>
      <c r="F127" s="41" t="s">
        <v>36</v>
      </c>
      <c r="G127" s="2" t="s">
        <v>36</v>
      </c>
    </row>
    <row r="128" spans="1:7" x14ac:dyDescent="0.25">
      <c r="A128" s="42" t="s">
        <v>228</v>
      </c>
      <c r="B128" s="14" t="s">
        <v>180</v>
      </c>
      <c r="C128" s="35" t="s">
        <v>36</v>
      </c>
      <c r="D128" s="12" t="s">
        <v>199</v>
      </c>
      <c r="E128" s="46" t="s">
        <v>201</v>
      </c>
      <c r="F128" s="41" t="s">
        <v>36</v>
      </c>
      <c r="G128" s="2" t="s">
        <v>36</v>
      </c>
    </row>
    <row r="129" spans="1:7" x14ac:dyDescent="0.25">
      <c r="A129" s="40">
        <v>203032019700</v>
      </c>
      <c r="B129" s="14" t="s">
        <v>147</v>
      </c>
      <c r="C129" s="35" t="s">
        <v>36</v>
      </c>
      <c r="D129" s="12" t="s">
        <v>199</v>
      </c>
      <c r="E129" s="46" t="s">
        <v>201</v>
      </c>
      <c r="F129" s="41" t="s">
        <v>36</v>
      </c>
      <c r="G129" s="2" t="s">
        <v>36</v>
      </c>
    </row>
    <row r="130" spans="1:7" x14ac:dyDescent="0.25">
      <c r="A130" s="40" t="s">
        <v>155</v>
      </c>
      <c r="B130" s="14" t="s">
        <v>181</v>
      </c>
      <c r="C130" s="35" t="s">
        <v>36</v>
      </c>
      <c r="D130" s="12" t="s">
        <v>199</v>
      </c>
      <c r="E130" s="46" t="s">
        <v>36</v>
      </c>
      <c r="F130" s="41" t="s">
        <v>36</v>
      </c>
      <c r="G130" s="2" t="s">
        <v>36</v>
      </c>
    </row>
    <row r="131" spans="1:7" x14ac:dyDescent="0.25">
      <c r="A131" s="42" t="s">
        <v>229</v>
      </c>
      <c r="B131" s="14" t="s">
        <v>51</v>
      </c>
      <c r="C131" s="35" t="s">
        <v>36</v>
      </c>
      <c r="D131" s="12" t="s">
        <v>199</v>
      </c>
      <c r="E131" s="46" t="s">
        <v>36</v>
      </c>
      <c r="F131" s="41" t="s">
        <v>36</v>
      </c>
      <c r="G131" s="2" t="s">
        <v>36</v>
      </c>
    </row>
    <row r="132" spans="1:7" x14ac:dyDescent="0.25">
      <c r="A132" s="40" t="s">
        <v>156</v>
      </c>
      <c r="B132" s="14" t="s">
        <v>182</v>
      </c>
      <c r="C132" s="35" t="s">
        <v>36</v>
      </c>
      <c r="D132" s="12" t="s">
        <v>199</v>
      </c>
      <c r="E132" s="46" t="s">
        <v>36</v>
      </c>
      <c r="F132" s="41" t="s">
        <v>36</v>
      </c>
      <c r="G132" s="2" t="s">
        <v>36</v>
      </c>
    </row>
    <row r="133" spans="1:7" x14ac:dyDescent="0.25">
      <c r="A133" s="40" t="s">
        <v>157</v>
      </c>
      <c r="B133" s="14" t="s">
        <v>49</v>
      </c>
      <c r="C133" s="35" t="s">
        <v>36</v>
      </c>
      <c r="D133" s="12" t="s">
        <v>199</v>
      </c>
      <c r="E133" s="46" t="s">
        <v>36</v>
      </c>
      <c r="F133" s="41" t="s">
        <v>36</v>
      </c>
      <c r="G133" s="2" t="s">
        <v>36</v>
      </c>
    </row>
    <row r="134" spans="1:7" x14ac:dyDescent="0.25">
      <c r="A134" s="40" t="s">
        <v>158</v>
      </c>
      <c r="B134" s="14" t="s">
        <v>183</v>
      </c>
      <c r="C134" s="35" t="s">
        <v>36</v>
      </c>
      <c r="D134" s="12" t="s">
        <v>199</v>
      </c>
      <c r="E134" s="46" t="s">
        <v>201</v>
      </c>
      <c r="F134" s="41" t="s">
        <v>36</v>
      </c>
      <c r="G134" s="2" t="s">
        <v>36</v>
      </c>
    </row>
    <row r="135" spans="1:7" x14ac:dyDescent="0.25">
      <c r="A135" s="40" t="s">
        <v>159</v>
      </c>
      <c r="B135" s="14" t="s">
        <v>184</v>
      </c>
      <c r="C135" s="35" t="s">
        <v>36</v>
      </c>
      <c r="D135" s="12" t="s">
        <v>199</v>
      </c>
      <c r="E135" s="46" t="s">
        <v>36</v>
      </c>
      <c r="F135" s="41" t="s">
        <v>36</v>
      </c>
      <c r="G135" s="2" t="s">
        <v>36</v>
      </c>
    </row>
    <row r="136" spans="1:7" x14ac:dyDescent="0.25">
      <c r="A136" s="40" t="s">
        <v>160</v>
      </c>
      <c r="B136" s="14" t="s">
        <v>185</v>
      </c>
      <c r="C136" s="35" t="s">
        <v>36</v>
      </c>
      <c r="D136" s="12" t="s">
        <v>199</v>
      </c>
      <c r="E136" s="46" t="s">
        <v>36</v>
      </c>
      <c r="F136" s="41" t="s">
        <v>36</v>
      </c>
      <c r="G136" s="2" t="s">
        <v>36</v>
      </c>
    </row>
    <row r="137" spans="1:7" x14ac:dyDescent="0.25">
      <c r="A137" s="40" t="s">
        <v>161</v>
      </c>
      <c r="B137" s="14" t="s">
        <v>186</v>
      </c>
      <c r="C137" s="35" t="s">
        <v>36</v>
      </c>
      <c r="D137" s="12" t="s">
        <v>199</v>
      </c>
      <c r="E137" s="46" t="s">
        <v>36</v>
      </c>
      <c r="F137" s="41" t="s">
        <v>36</v>
      </c>
      <c r="G137" s="2" t="s">
        <v>36</v>
      </c>
    </row>
    <row r="138" spans="1:7" x14ac:dyDescent="0.25">
      <c r="A138" s="40" t="s">
        <v>162</v>
      </c>
      <c r="B138" s="14" t="s">
        <v>182</v>
      </c>
      <c r="C138" s="35" t="s">
        <v>36</v>
      </c>
      <c r="D138" s="12" t="s">
        <v>199</v>
      </c>
      <c r="E138" s="46" t="s">
        <v>36</v>
      </c>
      <c r="F138" s="41" t="s">
        <v>36</v>
      </c>
      <c r="G138" s="2" t="s">
        <v>36</v>
      </c>
    </row>
    <row r="139" spans="1:7" x14ac:dyDescent="0.25">
      <c r="A139" s="40" t="s">
        <v>163</v>
      </c>
      <c r="B139" s="14" t="s">
        <v>187</v>
      </c>
      <c r="C139" s="35" t="s">
        <v>36</v>
      </c>
      <c r="D139" s="12" t="s">
        <v>199</v>
      </c>
      <c r="E139" s="46" t="s">
        <v>36</v>
      </c>
      <c r="F139" s="41" t="s">
        <v>36</v>
      </c>
      <c r="G139" s="2" t="s">
        <v>36</v>
      </c>
    </row>
    <row r="140" spans="1:7" x14ac:dyDescent="0.25">
      <c r="A140" s="40" t="s">
        <v>164</v>
      </c>
      <c r="B140" s="14" t="s">
        <v>188</v>
      </c>
      <c r="C140" s="35" t="s">
        <v>36</v>
      </c>
      <c r="D140" s="12" t="s">
        <v>199</v>
      </c>
      <c r="E140" s="46" t="s">
        <v>36</v>
      </c>
      <c r="F140" s="41" t="s">
        <v>36</v>
      </c>
      <c r="G140" s="2" t="s">
        <v>36</v>
      </c>
    </row>
    <row r="141" spans="1:7" x14ac:dyDescent="0.25">
      <c r="A141" s="40" t="s">
        <v>165</v>
      </c>
      <c r="B141" s="14" t="s">
        <v>189</v>
      </c>
      <c r="C141" s="35" t="s">
        <v>36</v>
      </c>
      <c r="D141" s="10" t="s">
        <v>197</v>
      </c>
      <c r="E141" s="46" t="s">
        <v>36</v>
      </c>
      <c r="F141" s="41" t="s">
        <v>36</v>
      </c>
      <c r="G141" s="13" t="s">
        <v>202</v>
      </c>
    </row>
    <row r="142" spans="1:7" x14ac:dyDescent="0.25">
      <c r="A142" s="40" t="s">
        <v>166</v>
      </c>
      <c r="B142" s="14" t="s">
        <v>78</v>
      </c>
      <c r="C142" s="35" t="s">
        <v>36</v>
      </c>
      <c r="D142" s="10" t="s">
        <v>197</v>
      </c>
      <c r="E142" s="46" t="s">
        <v>201</v>
      </c>
      <c r="F142" s="41" t="s">
        <v>36</v>
      </c>
      <c r="G142" s="13" t="s">
        <v>202</v>
      </c>
    </row>
    <row r="143" spans="1:7" x14ac:dyDescent="0.25">
      <c r="A143" s="40" t="s">
        <v>167</v>
      </c>
      <c r="B143" s="14" t="s">
        <v>80</v>
      </c>
      <c r="C143" s="35" t="s">
        <v>36</v>
      </c>
      <c r="D143" s="10" t="s">
        <v>197</v>
      </c>
      <c r="E143" s="46" t="s">
        <v>36</v>
      </c>
      <c r="F143" s="41" t="s">
        <v>36</v>
      </c>
      <c r="G143" s="13" t="s">
        <v>202</v>
      </c>
    </row>
    <row r="144" spans="1:7" x14ac:dyDescent="0.25">
      <c r="A144" s="40" t="s">
        <v>168</v>
      </c>
      <c r="B144" s="14" t="s">
        <v>190</v>
      </c>
      <c r="C144" s="35" t="s">
        <v>36</v>
      </c>
      <c r="D144" s="12" t="s">
        <v>199</v>
      </c>
      <c r="E144" s="46" t="s">
        <v>36</v>
      </c>
      <c r="F144" s="41" t="s">
        <v>36</v>
      </c>
      <c r="G144" s="2" t="s">
        <v>36</v>
      </c>
    </row>
    <row r="145" spans="1:7" x14ac:dyDescent="0.25">
      <c r="A145" s="40" t="s">
        <v>169</v>
      </c>
      <c r="B145" s="14" t="s">
        <v>191</v>
      </c>
      <c r="C145" s="35" t="s">
        <v>36</v>
      </c>
      <c r="D145" s="12" t="s">
        <v>199</v>
      </c>
      <c r="E145" s="46" t="s">
        <v>36</v>
      </c>
      <c r="F145" s="41" t="s">
        <v>36</v>
      </c>
      <c r="G145" s="2" t="s">
        <v>36</v>
      </c>
    </row>
    <row r="146" spans="1:7" x14ac:dyDescent="0.25">
      <c r="A146" s="40" t="s">
        <v>170</v>
      </c>
      <c r="B146" s="14" t="s">
        <v>192</v>
      </c>
      <c r="C146" s="35" t="s">
        <v>36</v>
      </c>
      <c r="D146" s="12" t="s">
        <v>199</v>
      </c>
      <c r="E146" s="46" t="s">
        <v>36</v>
      </c>
      <c r="F146" s="41" t="s">
        <v>36</v>
      </c>
      <c r="G146" s="2" t="s">
        <v>36</v>
      </c>
    </row>
    <row r="147" spans="1:7" x14ac:dyDescent="0.25">
      <c r="A147" s="40" t="s">
        <v>171</v>
      </c>
      <c r="B147" s="14" t="s">
        <v>187</v>
      </c>
      <c r="C147" s="35" t="s">
        <v>36</v>
      </c>
      <c r="D147" s="12" t="s">
        <v>199</v>
      </c>
      <c r="E147" s="46" t="s">
        <v>36</v>
      </c>
      <c r="F147" s="41" t="s">
        <v>36</v>
      </c>
      <c r="G147" s="2" t="s">
        <v>36</v>
      </c>
    </row>
    <row r="148" spans="1:7" x14ac:dyDescent="0.25">
      <c r="A148" s="40" t="s">
        <v>172</v>
      </c>
      <c r="B148" s="14" t="s">
        <v>193</v>
      </c>
      <c r="C148" s="35" t="s">
        <v>36</v>
      </c>
      <c r="D148" s="10" t="s">
        <v>197</v>
      </c>
      <c r="E148" s="46" t="s">
        <v>36</v>
      </c>
      <c r="F148" s="41" t="s">
        <v>36</v>
      </c>
      <c r="G148" s="13" t="s">
        <v>202</v>
      </c>
    </row>
    <row r="149" spans="1:7" x14ac:dyDescent="0.25">
      <c r="A149" s="40" t="s">
        <v>173</v>
      </c>
      <c r="B149" s="14" t="s">
        <v>194</v>
      </c>
      <c r="C149" s="35" t="s">
        <v>36</v>
      </c>
      <c r="D149" s="10" t="s">
        <v>197</v>
      </c>
      <c r="E149" s="46" t="s">
        <v>36</v>
      </c>
      <c r="F149" s="41" t="s">
        <v>36</v>
      </c>
      <c r="G149" s="13" t="s">
        <v>202</v>
      </c>
    </row>
    <row r="150" spans="1:7" x14ac:dyDescent="0.25">
      <c r="A150" s="40" t="s">
        <v>174</v>
      </c>
      <c r="B150" s="14" t="s">
        <v>195</v>
      </c>
      <c r="C150" s="35" t="s">
        <v>36</v>
      </c>
      <c r="D150" s="12" t="s">
        <v>199</v>
      </c>
      <c r="E150" s="46" t="s">
        <v>36</v>
      </c>
      <c r="F150" s="41" t="s">
        <v>36</v>
      </c>
      <c r="G150" s="2" t="s">
        <v>36</v>
      </c>
    </row>
    <row r="151" spans="1:7" x14ac:dyDescent="0.25">
      <c r="A151" s="40" t="s">
        <v>175</v>
      </c>
      <c r="B151" s="14" t="s">
        <v>196</v>
      </c>
      <c r="C151" s="35" t="s">
        <v>201</v>
      </c>
      <c r="D151" s="12" t="s">
        <v>199</v>
      </c>
      <c r="E151" s="46" t="s">
        <v>201</v>
      </c>
      <c r="F151" s="41" t="s">
        <v>36</v>
      </c>
      <c r="G151" s="2" t="s">
        <v>36</v>
      </c>
    </row>
  </sheetData>
  <mergeCells count="8">
    <mergeCell ref="I7:N7"/>
    <mergeCell ref="I8:N8"/>
    <mergeCell ref="I13:N13"/>
    <mergeCell ref="I14:N14"/>
    <mergeCell ref="I11:N11"/>
    <mergeCell ref="I12:N12"/>
    <mergeCell ref="I9:N9"/>
    <mergeCell ref="I10:N10"/>
  </mergeCells>
  <conditionalFormatting sqref="D2:D151">
    <cfRule type="cellIs" dxfId="4" priority="2" operator="equal">
      <formula>"MISSING"</formula>
    </cfRule>
    <cfRule type="cellIs" dxfId="3" priority="3" operator="equal">
      <formula>"SHOWN"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E9AC6-B7A0-4CC9-8A78-AB7CE867D2C2}">
  <dimension ref="B1:E9"/>
  <sheetViews>
    <sheetView workbookViewId="0">
      <selection activeCell="C20" sqref="C20"/>
    </sheetView>
  </sheetViews>
  <sheetFormatPr defaultRowHeight="15" x14ac:dyDescent="0.25"/>
  <cols>
    <col min="3" max="3" width="55.5703125" customWidth="1"/>
    <col min="4" max="4" width="12.85546875" customWidth="1"/>
    <col min="5" max="5" width="16.85546875" customWidth="1"/>
  </cols>
  <sheetData>
    <row r="1" spans="2:5" ht="15.75" thickBot="1" x14ac:dyDescent="0.3"/>
    <row r="2" spans="2:5" ht="21.75" customHeight="1" thickBot="1" x14ac:dyDescent="0.35">
      <c r="B2" s="54" t="s">
        <v>241</v>
      </c>
      <c r="C2" s="55"/>
      <c r="D2" s="56"/>
    </row>
    <row r="3" spans="2:5" ht="21.75" customHeight="1" thickBot="1" x14ac:dyDescent="0.3">
      <c r="B3" s="24" t="s">
        <v>239</v>
      </c>
      <c r="C3" s="25" t="s">
        <v>3</v>
      </c>
      <c r="D3" s="26" t="s">
        <v>240</v>
      </c>
      <c r="E3" s="23" t="s">
        <v>242</v>
      </c>
    </row>
    <row r="4" spans="2:5" ht="22.5" customHeight="1" thickBot="1" x14ac:dyDescent="0.3">
      <c r="B4" s="27">
        <v>1</v>
      </c>
      <c r="C4" s="28" t="str">
        <f>Sheet1!A2</f>
        <v>Parts Present in Catalogue Model # NE 1104 3616</v>
      </c>
      <c r="D4" s="29">
        <f>COUNTA(Sheet1!$A$11:$C$21,Sheet1!$A$23:$C$26,Sheet1!$A$28:$C$30,Sheet1!$A$32:$C$44,Sheet1!$A$46:$C$66,Sheet1!$A$68:$C$74,Sheet1!$A$76:$C$82,Sheet1!$A$84:$C$111,Sheet1!$A$113:$C$122,Sheet1!$A$124:$C$152)</f>
        <v>133</v>
      </c>
    </row>
    <row r="5" spans="2:5" ht="22.5" customHeight="1" x14ac:dyDescent="0.25">
      <c r="B5" s="18">
        <v>2</v>
      </c>
      <c r="C5" s="17" t="str">
        <f>Sheet1!G2</f>
        <v>Part in (Common parts xls)</v>
      </c>
      <c r="D5" s="21">
        <f>COUNTIF(Sheet1!$G$3:$I$152,E5)</f>
        <v>19</v>
      </c>
      <c r="E5" s="30" t="s">
        <v>201</v>
      </c>
    </row>
    <row r="6" spans="2:5" ht="22.5" customHeight="1" x14ac:dyDescent="0.25">
      <c r="B6" s="18">
        <v>3</v>
      </c>
      <c r="C6" s="17" t="str">
        <f>Sheet1!J2</f>
        <v>Part present in Recreated Model (Multi Ax Assembly.Step)</v>
      </c>
      <c r="D6" s="21">
        <f>COUNTIF(Sheet1!$J$3:$L$152,E6)</f>
        <v>92</v>
      </c>
      <c r="E6" s="31" t="s">
        <v>197</v>
      </c>
    </row>
    <row r="7" spans="2:5" ht="22.5" customHeight="1" x14ac:dyDescent="0.25">
      <c r="B7" s="18">
        <v>4</v>
      </c>
      <c r="C7" s="17" t="str">
        <f>Sheet1!M2</f>
        <v>Part in (5922 model parts xls)</v>
      </c>
      <c r="D7" s="21">
        <f>COUNTIF(Sheet1!$M$3:$O$152,Sheet2!E7)</f>
        <v>69</v>
      </c>
      <c r="E7" s="31" t="s">
        <v>201</v>
      </c>
    </row>
    <row r="8" spans="2:5" ht="22.5" customHeight="1" x14ac:dyDescent="0.25">
      <c r="B8" s="18">
        <v>5</v>
      </c>
      <c r="C8" s="17" t="str">
        <f>Sheet1!P2</f>
        <v>CORRUPTED</v>
      </c>
      <c r="D8" s="21">
        <f>COUNTIF(Sheet1!P3:R152,E8)</f>
        <v>39</v>
      </c>
      <c r="E8" s="31" t="s">
        <v>201</v>
      </c>
    </row>
    <row r="9" spans="2:5" ht="22.5" customHeight="1" thickBot="1" x14ac:dyDescent="0.3">
      <c r="B9" s="19">
        <v>6</v>
      </c>
      <c r="C9" s="20" t="str">
        <f>Sheet1!S2</f>
        <v>Part Recreated</v>
      </c>
      <c r="D9" s="22">
        <f>COUNTIF(Sheet1!S3:U152,E9)</f>
        <v>71</v>
      </c>
      <c r="E9" s="32" t="s">
        <v>202</v>
      </c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52"/>
  <sheetViews>
    <sheetView tabSelected="1" zoomScale="85" zoomScaleNormal="85" workbookViewId="0">
      <selection sqref="A1:U1"/>
    </sheetView>
  </sheetViews>
  <sheetFormatPr defaultRowHeight="15" x14ac:dyDescent="0.25"/>
  <cols>
    <col min="1" max="1" width="12" bestFit="1" customWidth="1"/>
    <col min="3" max="3" width="27.7109375" customWidth="1"/>
    <col min="6" max="6" width="35" customWidth="1"/>
    <col min="8" max="8" width="24.28515625" customWidth="1"/>
    <col min="9" max="9" width="1.42578125" customWidth="1"/>
    <col min="12" max="12" width="44.140625" customWidth="1"/>
    <col min="15" max="15" width="18.85546875" customWidth="1"/>
    <col min="21" max="21" width="11.28515625" customWidth="1"/>
  </cols>
  <sheetData>
    <row r="1" spans="1:32" ht="60" customHeight="1" x14ac:dyDescent="0.25">
      <c r="A1" s="107" t="s">
        <v>243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32" ht="30.75" customHeight="1" x14ac:dyDescent="0.25">
      <c r="A2" s="104" t="s">
        <v>135</v>
      </c>
      <c r="B2" s="105"/>
      <c r="C2" s="106"/>
      <c r="D2" s="101" t="s">
        <v>3</v>
      </c>
      <c r="E2" s="102"/>
      <c r="F2" s="103"/>
      <c r="G2" s="101" t="s">
        <v>1</v>
      </c>
      <c r="H2" s="102"/>
      <c r="I2" s="103"/>
      <c r="J2" s="98" t="s">
        <v>230</v>
      </c>
      <c r="K2" s="99"/>
      <c r="L2" s="100"/>
      <c r="M2" s="101" t="s">
        <v>0</v>
      </c>
      <c r="N2" s="102"/>
      <c r="O2" s="103"/>
      <c r="P2" s="101" t="s">
        <v>200</v>
      </c>
      <c r="Q2" s="102"/>
      <c r="R2" s="103"/>
      <c r="S2" s="101" t="s">
        <v>198</v>
      </c>
      <c r="T2" s="102"/>
      <c r="U2" s="103"/>
    </row>
    <row r="3" spans="1:32" x14ac:dyDescent="0.25">
      <c r="A3" s="62" t="s">
        <v>87</v>
      </c>
      <c r="B3" s="62"/>
      <c r="C3" s="62"/>
      <c r="D3" s="59" t="s">
        <v>88</v>
      </c>
      <c r="E3" s="59"/>
      <c r="F3" s="59"/>
      <c r="G3" s="87" t="s">
        <v>203</v>
      </c>
      <c r="H3" s="87"/>
      <c r="I3" s="87"/>
      <c r="J3" s="60" t="s">
        <v>203</v>
      </c>
      <c r="K3" s="60"/>
      <c r="L3" s="60"/>
      <c r="M3" s="88" t="s">
        <v>203</v>
      </c>
      <c r="N3" s="88"/>
      <c r="O3" s="88"/>
      <c r="P3" s="60" t="s">
        <v>203</v>
      </c>
      <c r="Q3" s="60"/>
      <c r="R3" s="60"/>
      <c r="S3" s="60" t="s">
        <v>203</v>
      </c>
      <c r="T3" s="60"/>
      <c r="U3" s="60"/>
    </row>
    <row r="4" spans="1:32" x14ac:dyDescent="0.25">
      <c r="A4" s="79" t="s">
        <v>2</v>
      </c>
      <c r="B4" s="79"/>
      <c r="C4" s="79"/>
      <c r="D4" s="64" t="s">
        <v>4</v>
      </c>
      <c r="E4" s="64"/>
      <c r="F4" s="64"/>
      <c r="G4" s="66" t="s">
        <v>203</v>
      </c>
      <c r="H4" s="67"/>
      <c r="I4" s="67"/>
      <c r="J4" s="63" t="s">
        <v>203</v>
      </c>
      <c r="K4" s="64"/>
      <c r="L4" s="64"/>
      <c r="M4" s="68" t="s">
        <v>203</v>
      </c>
      <c r="N4" s="69"/>
      <c r="O4" s="69"/>
      <c r="P4" s="63" t="s">
        <v>203</v>
      </c>
      <c r="Q4" s="64"/>
      <c r="R4" s="64"/>
      <c r="S4" s="63" t="s">
        <v>203</v>
      </c>
      <c r="T4" s="64"/>
      <c r="U4" s="64"/>
    </row>
    <row r="5" spans="1:32" x14ac:dyDescent="0.25">
      <c r="A5" s="79" t="s">
        <v>11</v>
      </c>
      <c r="B5" s="79"/>
      <c r="C5" s="79"/>
      <c r="D5" s="64" t="s">
        <v>5</v>
      </c>
      <c r="E5" s="64"/>
      <c r="F5" s="64"/>
      <c r="G5" s="66" t="s">
        <v>203</v>
      </c>
      <c r="H5" s="67"/>
      <c r="I5" s="67"/>
      <c r="J5" s="63" t="s">
        <v>203</v>
      </c>
      <c r="K5" s="64"/>
      <c r="L5" s="64"/>
      <c r="M5" s="68" t="s">
        <v>203</v>
      </c>
      <c r="N5" s="69"/>
      <c r="O5" s="69"/>
      <c r="P5" s="63" t="s">
        <v>203</v>
      </c>
      <c r="Q5" s="64"/>
      <c r="R5" s="64"/>
      <c r="S5" s="63" t="s">
        <v>203</v>
      </c>
      <c r="T5" s="64"/>
      <c r="U5" s="64"/>
    </row>
    <row r="6" spans="1:32" x14ac:dyDescent="0.25">
      <c r="A6" s="79" t="s">
        <v>12</v>
      </c>
      <c r="B6" s="79"/>
      <c r="C6" s="79"/>
      <c r="D6" s="64" t="s">
        <v>6</v>
      </c>
      <c r="E6" s="64"/>
      <c r="F6" s="64"/>
      <c r="G6" s="66" t="s">
        <v>203</v>
      </c>
      <c r="H6" s="67"/>
      <c r="I6" s="67"/>
      <c r="J6" s="63" t="s">
        <v>203</v>
      </c>
      <c r="K6" s="64"/>
      <c r="L6" s="64"/>
      <c r="M6" s="68" t="s">
        <v>203</v>
      </c>
      <c r="N6" s="69"/>
      <c r="O6" s="69"/>
      <c r="P6" s="63" t="s">
        <v>203</v>
      </c>
      <c r="Q6" s="64"/>
      <c r="R6" s="64"/>
      <c r="S6" s="63" t="s">
        <v>203</v>
      </c>
      <c r="T6" s="64"/>
      <c r="U6" s="64"/>
    </row>
    <row r="7" spans="1:32" x14ac:dyDescent="0.25">
      <c r="A7" s="79" t="s">
        <v>13</v>
      </c>
      <c r="B7" s="79"/>
      <c r="C7" s="79"/>
      <c r="D7" s="64" t="s">
        <v>7</v>
      </c>
      <c r="E7" s="64"/>
      <c r="F7" s="64"/>
      <c r="G7" s="66" t="s">
        <v>203</v>
      </c>
      <c r="H7" s="67"/>
      <c r="I7" s="67"/>
      <c r="J7" s="63" t="s">
        <v>203</v>
      </c>
      <c r="K7" s="64"/>
      <c r="L7" s="64"/>
      <c r="M7" s="68" t="s">
        <v>203</v>
      </c>
      <c r="N7" s="69"/>
      <c r="O7" s="69"/>
      <c r="P7" s="63" t="s">
        <v>203</v>
      </c>
      <c r="Q7" s="64"/>
      <c r="R7" s="64"/>
      <c r="S7" s="63" t="s">
        <v>203</v>
      </c>
      <c r="T7" s="64"/>
      <c r="U7" s="64"/>
    </row>
    <row r="8" spans="1:32" x14ac:dyDescent="0.25">
      <c r="A8" s="79" t="s">
        <v>14</v>
      </c>
      <c r="B8" s="79"/>
      <c r="C8" s="79"/>
      <c r="D8" s="64" t="s">
        <v>8</v>
      </c>
      <c r="E8" s="64"/>
      <c r="F8" s="64"/>
      <c r="G8" s="66" t="s">
        <v>203</v>
      </c>
      <c r="H8" s="67"/>
      <c r="I8" s="67"/>
      <c r="J8" s="63" t="s">
        <v>203</v>
      </c>
      <c r="K8" s="64"/>
      <c r="L8" s="64"/>
      <c r="M8" s="68" t="s">
        <v>203</v>
      </c>
      <c r="N8" s="69"/>
      <c r="O8" s="69"/>
      <c r="P8" s="63" t="s">
        <v>203</v>
      </c>
      <c r="Q8" s="64"/>
      <c r="R8" s="64"/>
      <c r="S8" s="63" t="s">
        <v>203</v>
      </c>
      <c r="T8" s="64"/>
      <c r="U8" s="64"/>
      <c r="W8" s="53" t="s">
        <v>231</v>
      </c>
      <c r="X8" s="53"/>
      <c r="Y8" s="53"/>
      <c r="Z8" s="53"/>
      <c r="AA8" s="53"/>
      <c r="AB8" s="53"/>
    </row>
    <row r="9" spans="1:32" x14ac:dyDescent="0.25">
      <c r="A9" s="79" t="s">
        <v>15</v>
      </c>
      <c r="B9" s="79"/>
      <c r="C9" s="79"/>
      <c r="D9" s="64" t="s">
        <v>9</v>
      </c>
      <c r="E9" s="64"/>
      <c r="F9" s="64"/>
      <c r="G9" s="66" t="s">
        <v>203</v>
      </c>
      <c r="H9" s="67"/>
      <c r="I9" s="67"/>
      <c r="J9" s="63" t="s">
        <v>203</v>
      </c>
      <c r="K9" s="64"/>
      <c r="L9" s="64"/>
      <c r="M9" s="68" t="s">
        <v>203</v>
      </c>
      <c r="N9" s="69"/>
      <c r="O9" s="69"/>
      <c r="P9" s="63" t="s">
        <v>203</v>
      </c>
      <c r="Q9" s="64"/>
      <c r="R9" s="64"/>
      <c r="S9" s="63" t="s">
        <v>203</v>
      </c>
      <c r="T9" s="64"/>
      <c r="U9" s="64"/>
      <c r="W9" s="52" t="s">
        <v>232</v>
      </c>
      <c r="X9" s="52"/>
      <c r="Y9" s="52"/>
      <c r="Z9" s="52"/>
      <c r="AA9" s="52"/>
      <c r="AB9" s="52"/>
      <c r="AC9" s="1"/>
      <c r="AD9" s="1"/>
      <c r="AE9" s="1"/>
      <c r="AF9" s="1"/>
    </row>
    <row r="10" spans="1:32" x14ac:dyDescent="0.25">
      <c r="A10" s="79" t="s">
        <v>16</v>
      </c>
      <c r="B10" s="79"/>
      <c r="C10" s="79"/>
      <c r="D10" s="64" t="s">
        <v>10</v>
      </c>
      <c r="E10" s="64"/>
      <c r="F10" s="64"/>
      <c r="G10" s="66" t="s">
        <v>203</v>
      </c>
      <c r="H10" s="67"/>
      <c r="I10" s="67"/>
      <c r="J10" s="63" t="s">
        <v>203</v>
      </c>
      <c r="K10" s="64"/>
      <c r="L10" s="64"/>
      <c r="M10" s="68" t="s">
        <v>203</v>
      </c>
      <c r="N10" s="69"/>
      <c r="O10" s="69"/>
      <c r="P10" s="63" t="s">
        <v>203</v>
      </c>
      <c r="Q10" s="64"/>
      <c r="R10" s="64"/>
      <c r="S10" s="63" t="s">
        <v>203</v>
      </c>
      <c r="T10" s="64"/>
      <c r="U10" s="64"/>
      <c r="W10" s="52" t="s">
        <v>233</v>
      </c>
      <c r="X10" s="52"/>
      <c r="Y10" s="52"/>
      <c r="Z10" s="52"/>
      <c r="AA10" s="52"/>
      <c r="AB10" s="52"/>
      <c r="AC10" s="1"/>
      <c r="AD10" s="1"/>
      <c r="AE10" s="1"/>
      <c r="AF10" s="1"/>
    </row>
    <row r="11" spans="1:32" x14ac:dyDescent="0.25">
      <c r="A11" s="80" t="s">
        <v>210</v>
      </c>
      <c r="B11" s="81"/>
      <c r="C11" s="82"/>
      <c r="D11" s="53" t="s">
        <v>22</v>
      </c>
      <c r="E11" s="53"/>
      <c r="F11" s="53"/>
      <c r="G11" s="57" t="s">
        <v>36</v>
      </c>
      <c r="H11" s="57"/>
      <c r="I11" s="57"/>
      <c r="J11" s="65" t="s">
        <v>197</v>
      </c>
      <c r="K11" s="65"/>
      <c r="L11" s="65"/>
      <c r="M11" s="58" t="s">
        <v>201</v>
      </c>
      <c r="N11" s="58"/>
      <c r="O11" s="58"/>
      <c r="P11" s="53" t="s">
        <v>36</v>
      </c>
      <c r="Q11" s="53"/>
      <c r="R11" s="53"/>
      <c r="S11" s="76" t="s">
        <v>202</v>
      </c>
      <c r="T11" s="53"/>
      <c r="U11" s="53"/>
      <c r="W11" s="52" t="s">
        <v>234</v>
      </c>
      <c r="X11" s="52"/>
      <c r="Y11" s="52"/>
      <c r="Z11" s="52"/>
      <c r="AA11" s="52"/>
      <c r="AB11" s="52"/>
      <c r="AC11" s="1"/>
      <c r="AD11" s="1"/>
      <c r="AE11" s="1"/>
      <c r="AF11" s="1"/>
    </row>
    <row r="12" spans="1:32" x14ac:dyDescent="0.25">
      <c r="A12" s="70">
        <v>203025001100</v>
      </c>
      <c r="B12" s="71"/>
      <c r="C12" s="72"/>
      <c r="D12" s="53" t="s">
        <v>23</v>
      </c>
      <c r="E12" s="53"/>
      <c r="F12" s="53"/>
      <c r="G12" s="57" t="s">
        <v>36</v>
      </c>
      <c r="H12" s="57"/>
      <c r="I12" s="57"/>
      <c r="J12" s="65" t="s">
        <v>197</v>
      </c>
      <c r="K12" s="65"/>
      <c r="L12" s="65"/>
      <c r="M12" s="58" t="s">
        <v>201</v>
      </c>
      <c r="N12" s="58"/>
      <c r="O12" s="58"/>
      <c r="P12" s="53" t="s">
        <v>36</v>
      </c>
      <c r="Q12" s="53"/>
      <c r="R12" s="53"/>
      <c r="S12" s="76" t="s">
        <v>202</v>
      </c>
      <c r="T12" s="53"/>
      <c r="U12" s="53"/>
      <c r="W12" s="52" t="s">
        <v>235</v>
      </c>
      <c r="X12" s="52"/>
      <c r="Y12" s="52"/>
      <c r="Z12" s="52"/>
      <c r="AA12" s="52"/>
      <c r="AB12" s="52"/>
      <c r="AC12" s="1"/>
      <c r="AD12" s="1"/>
      <c r="AE12" s="1"/>
      <c r="AF12" s="1"/>
    </row>
    <row r="13" spans="1:32" x14ac:dyDescent="0.25">
      <c r="A13" s="70" t="s">
        <v>17</v>
      </c>
      <c r="B13" s="71"/>
      <c r="C13" s="72"/>
      <c r="D13" s="53" t="s">
        <v>17</v>
      </c>
      <c r="E13" s="53"/>
      <c r="F13" s="53"/>
      <c r="G13" s="57" t="s">
        <v>201</v>
      </c>
      <c r="H13" s="57"/>
      <c r="I13" s="57"/>
      <c r="J13" s="65" t="s">
        <v>197</v>
      </c>
      <c r="K13" s="65"/>
      <c r="L13" s="65"/>
      <c r="M13" s="58" t="s">
        <v>201</v>
      </c>
      <c r="N13" s="58"/>
      <c r="O13" s="58"/>
      <c r="P13" s="53" t="s">
        <v>36</v>
      </c>
      <c r="Q13" s="53"/>
      <c r="R13" s="53"/>
      <c r="S13" s="76" t="s">
        <v>202</v>
      </c>
      <c r="T13" s="53"/>
      <c r="U13" s="53"/>
      <c r="W13" s="52" t="s">
        <v>236</v>
      </c>
      <c r="X13" s="52"/>
      <c r="Y13" s="52"/>
      <c r="Z13" s="52"/>
      <c r="AA13" s="52"/>
      <c r="AB13" s="52"/>
      <c r="AC13" s="1"/>
      <c r="AD13" s="1"/>
      <c r="AE13" s="1"/>
      <c r="AF13" s="1"/>
    </row>
    <row r="14" spans="1:32" x14ac:dyDescent="0.25">
      <c r="A14" s="70" t="s">
        <v>18</v>
      </c>
      <c r="B14" s="71"/>
      <c r="C14" s="72"/>
      <c r="D14" s="53" t="s">
        <v>24</v>
      </c>
      <c r="E14" s="53"/>
      <c r="F14" s="53"/>
      <c r="G14" s="57" t="s">
        <v>36</v>
      </c>
      <c r="H14" s="57"/>
      <c r="I14" s="57"/>
      <c r="J14" s="65" t="s">
        <v>197</v>
      </c>
      <c r="K14" s="65"/>
      <c r="L14" s="65"/>
      <c r="M14" s="58" t="s">
        <v>36</v>
      </c>
      <c r="N14" s="58"/>
      <c r="O14" s="58"/>
      <c r="P14" s="53" t="s">
        <v>36</v>
      </c>
      <c r="Q14" s="53"/>
      <c r="R14" s="53"/>
      <c r="S14" s="76" t="s">
        <v>202</v>
      </c>
      <c r="T14" s="53"/>
      <c r="U14" s="53"/>
      <c r="W14" s="52" t="s">
        <v>237</v>
      </c>
      <c r="X14" s="52"/>
      <c r="Y14" s="52"/>
      <c r="Z14" s="52"/>
      <c r="AA14" s="52"/>
      <c r="AB14" s="52"/>
      <c r="AC14" s="1"/>
      <c r="AD14" s="1"/>
      <c r="AE14" s="1"/>
      <c r="AF14" s="1"/>
    </row>
    <row r="15" spans="1:32" x14ac:dyDescent="0.25">
      <c r="A15" s="70" t="s">
        <v>19</v>
      </c>
      <c r="B15" s="71"/>
      <c r="C15" s="72"/>
      <c r="D15" s="53" t="s">
        <v>25</v>
      </c>
      <c r="E15" s="53"/>
      <c r="F15" s="53"/>
      <c r="G15" s="57" t="s">
        <v>201</v>
      </c>
      <c r="H15" s="57"/>
      <c r="I15" s="57"/>
      <c r="J15" s="65" t="s">
        <v>197</v>
      </c>
      <c r="K15" s="65"/>
      <c r="L15" s="65"/>
      <c r="M15" s="58" t="s">
        <v>201</v>
      </c>
      <c r="N15" s="58"/>
      <c r="O15" s="58"/>
      <c r="P15" s="53" t="s">
        <v>36</v>
      </c>
      <c r="Q15" s="53"/>
      <c r="R15" s="53"/>
      <c r="S15" s="76" t="s">
        <v>202</v>
      </c>
      <c r="T15" s="53"/>
      <c r="U15" s="53"/>
      <c r="W15" s="52" t="s">
        <v>238</v>
      </c>
      <c r="X15" s="52"/>
      <c r="Y15" s="52"/>
      <c r="Z15" s="52"/>
      <c r="AA15" s="52"/>
      <c r="AB15" s="52"/>
      <c r="AC15" s="1"/>
      <c r="AD15" s="1"/>
      <c r="AE15" s="1"/>
      <c r="AF15" s="1"/>
    </row>
    <row r="16" spans="1:32" x14ac:dyDescent="0.25">
      <c r="A16" s="70">
        <v>203047000200</v>
      </c>
      <c r="B16" s="71"/>
      <c r="C16" s="72"/>
      <c r="D16" s="53" t="s">
        <v>26</v>
      </c>
      <c r="E16" s="53"/>
      <c r="F16" s="53"/>
      <c r="G16" s="57" t="s">
        <v>201</v>
      </c>
      <c r="H16" s="57"/>
      <c r="I16" s="57"/>
      <c r="J16" s="65" t="s">
        <v>197</v>
      </c>
      <c r="K16" s="65"/>
      <c r="L16" s="65"/>
      <c r="M16" s="58" t="s">
        <v>201</v>
      </c>
      <c r="N16" s="58"/>
      <c r="O16" s="58"/>
      <c r="P16" s="53" t="s">
        <v>36</v>
      </c>
      <c r="Q16" s="53"/>
      <c r="R16" s="53"/>
      <c r="S16" s="76" t="s">
        <v>202</v>
      </c>
      <c r="T16" s="53"/>
      <c r="U16" s="53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5">
      <c r="A17" s="70">
        <v>203012000200</v>
      </c>
      <c r="B17" s="71"/>
      <c r="C17" s="72"/>
      <c r="D17" s="53" t="s">
        <v>27</v>
      </c>
      <c r="E17" s="53"/>
      <c r="F17" s="53"/>
      <c r="G17" s="57" t="s">
        <v>36</v>
      </c>
      <c r="H17" s="57"/>
      <c r="I17" s="57"/>
      <c r="J17" s="65" t="s">
        <v>197</v>
      </c>
      <c r="K17" s="65"/>
      <c r="L17" s="65"/>
      <c r="M17" s="58" t="s">
        <v>201</v>
      </c>
      <c r="N17" s="58"/>
      <c r="O17" s="58"/>
      <c r="P17" s="61" t="s">
        <v>201</v>
      </c>
      <c r="Q17" s="61"/>
      <c r="R17" s="61"/>
      <c r="S17" s="76" t="s">
        <v>202</v>
      </c>
      <c r="T17" s="53"/>
      <c r="U17" s="53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5">
      <c r="A18" s="70">
        <v>203038002500</v>
      </c>
      <c r="B18" s="71"/>
      <c r="C18" s="72"/>
      <c r="D18" s="53" t="s">
        <v>28</v>
      </c>
      <c r="E18" s="53"/>
      <c r="F18" s="53"/>
      <c r="G18" s="57" t="s">
        <v>36</v>
      </c>
      <c r="H18" s="57"/>
      <c r="I18" s="57"/>
      <c r="J18" s="65" t="s">
        <v>197</v>
      </c>
      <c r="K18" s="65"/>
      <c r="L18" s="65"/>
      <c r="M18" s="58" t="s">
        <v>36</v>
      </c>
      <c r="N18" s="58"/>
      <c r="O18" s="58"/>
      <c r="P18" s="61" t="s">
        <v>201</v>
      </c>
      <c r="Q18" s="61"/>
      <c r="R18" s="61"/>
      <c r="S18" s="76" t="s">
        <v>202</v>
      </c>
      <c r="T18" s="53"/>
      <c r="U18" s="53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5">
      <c r="A19" s="70" t="s">
        <v>20</v>
      </c>
      <c r="B19" s="71"/>
      <c r="C19" s="72"/>
      <c r="D19" s="53" t="s">
        <v>29</v>
      </c>
      <c r="E19" s="53"/>
      <c r="F19" s="53"/>
      <c r="G19" s="57" t="s">
        <v>36</v>
      </c>
      <c r="H19" s="57"/>
      <c r="I19" s="57"/>
      <c r="J19" s="65" t="s">
        <v>197</v>
      </c>
      <c r="K19" s="65"/>
      <c r="L19" s="65"/>
      <c r="M19" s="58" t="s">
        <v>201</v>
      </c>
      <c r="N19" s="58"/>
      <c r="O19" s="58"/>
      <c r="P19" s="53" t="s">
        <v>36</v>
      </c>
      <c r="Q19" s="53"/>
      <c r="R19" s="53"/>
      <c r="S19" s="76" t="s">
        <v>202</v>
      </c>
      <c r="T19" s="53"/>
      <c r="U19" s="53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5">
      <c r="A20" s="70" t="s">
        <v>21</v>
      </c>
      <c r="B20" s="71"/>
      <c r="C20" s="72"/>
      <c r="D20" s="53" t="s">
        <v>31</v>
      </c>
      <c r="E20" s="53"/>
      <c r="F20" s="53"/>
      <c r="G20" s="57" t="s">
        <v>36</v>
      </c>
      <c r="H20" s="57"/>
      <c r="I20" s="57"/>
      <c r="J20" s="65" t="s">
        <v>197</v>
      </c>
      <c r="K20" s="65"/>
      <c r="L20" s="65"/>
      <c r="M20" s="58" t="s">
        <v>201</v>
      </c>
      <c r="N20" s="58"/>
      <c r="O20" s="58"/>
      <c r="P20" s="53" t="s">
        <v>36</v>
      </c>
      <c r="Q20" s="53"/>
      <c r="R20" s="53"/>
      <c r="S20" s="76" t="s">
        <v>202</v>
      </c>
      <c r="T20" s="53"/>
      <c r="U20" s="53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5">
      <c r="A21" s="70">
        <v>203026010200</v>
      </c>
      <c r="B21" s="71"/>
      <c r="C21" s="72"/>
      <c r="D21" s="53" t="s">
        <v>30</v>
      </c>
      <c r="E21" s="53"/>
      <c r="F21" s="53"/>
      <c r="G21" s="57" t="s">
        <v>36</v>
      </c>
      <c r="H21" s="57"/>
      <c r="I21" s="57"/>
      <c r="J21" s="65" t="s">
        <v>197</v>
      </c>
      <c r="K21" s="65"/>
      <c r="L21" s="65"/>
      <c r="M21" s="58" t="s">
        <v>201</v>
      </c>
      <c r="N21" s="58"/>
      <c r="O21" s="58"/>
      <c r="P21" s="53" t="s">
        <v>36</v>
      </c>
      <c r="Q21" s="53"/>
      <c r="R21" s="53"/>
      <c r="S21" s="76" t="s">
        <v>202</v>
      </c>
      <c r="T21" s="53"/>
      <c r="U21" s="53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5">
      <c r="A22" s="79" t="s">
        <v>12</v>
      </c>
      <c r="B22" s="79"/>
      <c r="C22" s="79"/>
      <c r="D22" s="64" t="s">
        <v>6</v>
      </c>
      <c r="E22" s="64"/>
      <c r="F22" s="64"/>
      <c r="G22" s="66" t="s">
        <v>203</v>
      </c>
      <c r="H22" s="67"/>
      <c r="I22" s="67"/>
      <c r="J22" s="63" t="s">
        <v>203</v>
      </c>
      <c r="K22" s="64"/>
      <c r="L22" s="64"/>
      <c r="M22" s="68" t="s">
        <v>203</v>
      </c>
      <c r="N22" s="69"/>
      <c r="O22" s="69"/>
      <c r="P22" s="63" t="s">
        <v>203</v>
      </c>
      <c r="Q22" s="64"/>
      <c r="R22" s="64"/>
      <c r="S22" s="63" t="s">
        <v>203</v>
      </c>
      <c r="T22" s="64"/>
      <c r="U22" s="64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5">
      <c r="A23" s="78" t="s">
        <v>20</v>
      </c>
      <c r="B23" s="78"/>
      <c r="C23" s="78"/>
      <c r="D23" s="53" t="s">
        <v>29</v>
      </c>
      <c r="E23" s="53"/>
      <c r="F23" s="53"/>
      <c r="G23" s="57" t="s">
        <v>36</v>
      </c>
      <c r="H23" s="57"/>
      <c r="I23" s="57"/>
      <c r="J23" s="65" t="s">
        <v>197</v>
      </c>
      <c r="K23" s="65"/>
      <c r="L23" s="65"/>
      <c r="M23" s="58" t="s">
        <v>201</v>
      </c>
      <c r="N23" s="58"/>
      <c r="O23" s="58"/>
      <c r="P23" s="53" t="s">
        <v>36</v>
      </c>
      <c r="Q23" s="53"/>
      <c r="R23" s="53"/>
      <c r="S23" s="76" t="s">
        <v>202</v>
      </c>
      <c r="T23" s="53"/>
      <c r="U23" s="53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5">
      <c r="A24" s="78">
        <v>203038002500</v>
      </c>
      <c r="B24" s="78"/>
      <c r="C24" s="78"/>
      <c r="D24" s="53" t="s">
        <v>37</v>
      </c>
      <c r="E24" s="53"/>
      <c r="F24" s="53"/>
      <c r="G24" s="57" t="s">
        <v>36</v>
      </c>
      <c r="H24" s="57"/>
      <c r="I24" s="57"/>
      <c r="J24" s="65" t="s">
        <v>197</v>
      </c>
      <c r="K24" s="65"/>
      <c r="L24" s="65"/>
      <c r="M24" s="58" t="s">
        <v>36</v>
      </c>
      <c r="N24" s="58"/>
      <c r="O24" s="58"/>
      <c r="P24" s="53" t="s">
        <v>36</v>
      </c>
      <c r="Q24" s="53"/>
      <c r="R24" s="53"/>
      <c r="S24" s="76" t="s">
        <v>202</v>
      </c>
      <c r="T24" s="53"/>
      <c r="U24" s="53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5">
      <c r="A25" s="78" t="s">
        <v>32</v>
      </c>
      <c r="B25" s="78"/>
      <c r="C25" s="78"/>
      <c r="D25" s="53" t="s">
        <v>38</v>
      </c>
      <c r="E25" s="53"/>
      <c r="F25" s="53"/>
      <c r="G25" s="57" t="s">
        <v>201</v>
      </c>
      <c r="H25" s="57"/>
      <c r="I25" s="57"/>
      <c r="J25" s="65" t="s">
        <v>197</v>
      </c>
      <c r="K25" s="65"/>
      <c r="L25" s="65"/>
      <c r="M25" s="58" t="s">
        <v>201</v>
      </c>
      <c r="N25" s="58"/>
      <c r="O25" s="58"/>
      <c r="P25" s="53" t="s">
        <v>36</v>
      </c>
      <c r="Q25" s="53"/>
      <c r="R25" s="53"/>
      <c r="S25" s="76" t="s">
        <v>202</v>
      </c>
      <c r="T25" s="53"/>
      <c r="U25" s="53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5">
      <c r="A26" s="78" t="s">
        <v>33</v>
      </c>
      <c r="B26" s="78"/>
      <c r="C26" s="78"/>
      <c r="D26" s="53" t="s">
        <v>24</v>
      </c>
      <c r="E26" s="53"/>
      <c r="F26" s="53"/>
      <c r="G26" s="57" t="s">
        <v>36</v>
      </c>
      <c r="H26" s="57"/>
      <c r="I26" s="57"/>
      <c r="J26" s="65" t="s">
        <v>197</v>
      </c>
      <c r="K26" s="65"/>
      <c r="L26" s="65"/>
      <c r="M26" s="58" t="s">
        <v>36</v>
      </c>
      <c r="N26" s="58"/>
      <c r="O26" s="58"/>
      <c r="P26" s="53" t="s">
        <v>36</v>
      </c>
      <c r="Q26" s="53"/>
      <c r="R26" s="53"/>
      <c r="S26" s="76" t="s">
        <v>202</v>
      </c>
      <c r="T26" s="53"/>
      <c r="U26" s="53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79" t="s">
        <v>34</v>
      </c>
      <c r="B27" s="79"/>
      <c r="C27" s="79"/>
      <c r="D27" s="63" t="s">
        <v>39</v>
      </c>
      <c r="E27" s="63"/>
      <c r="F27" s="63"/>
      <c r="G27" s="57" t="s">
        <v>201</v>
      </c>
      <c r="H27" s="57"/>
      <c r="I27" s="57"/>
      <c r="J27" s="65" t="s">
        <v>197</v>
      </c>
      <c r="K27" s="65"/>
      <c r="L27" s="65"/>
      <c r="M27" s="58" t="s">
        <v>201</v>
      </c>
      <c r="N27" s="58"/>
      <c r="O27" s="58"/>
      <c r="P27" s="53" t="s">
        <v>36</v>
      </c>
      <c r="Q27" s="53"/>
      <c r="R27" s="53"/>
      <c r="S27" s="76" t="s">
        <v>202</v>
      </c>
      <c r="T27" s="53"/>
      <c r="U27" s="53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78">
        <v>203025001100</v>
      </c>
      <c r="B28" s="78"/>
      <c r="C28" s="78"/>
      <c r="D28" s="53" t="s">
        <v>23</v>
      </c>
      <c r="E28" s="53"/>
      <c r="F28" s="53"/>
      <c r="G28" s="57" t="s">
        <v>36</v>
      </c>
      <c r="H28" s="57"/>
      <c r="I28" s="57"/>
      <c r="J28" s="65" t="s">
        <v>197</v>
      </c>
      <c r="K28" s="65"/>
      <c r="L28" s="65"/>
      <c r="M28" s="58" t="s">
        <v>201</v>
      </c>
      <c r="N28" s="58"/>
      <c r="O28" s="58"/>
      <c r="P28" s="53" t="s">
        <v>36</v>
      </c>
      <c r="Q28" s="53"/>
      <c r="R28" s="53"/>
      <c r="S28" s="76" t="s">
        <v>202</v>
      </c>
      <c r="T28" s="53"/>
      <c r="U28" s="53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78">
        <v>203012000200</v>
      </c>
      <c r="B29" s="78"/>
      <c r="C29" s="78"/>
      <c r="D29" s="53" t="s">
        <v>40</v>
      </c>
      <c r="E29" s="53"/>
      <c r="F29" s="53"/>
      <c r="G29" s="57" t="s">
        <v>36</v>
      </c>
      <c r="H29" s="57"/>
      <c r="I29" s="57"/>
      <c r="J29" s="65" t="s">
        <v>197</v>
      </c>
      <c r="K29" s="65"/>
      <c r="L29" s="65"/>
      <c r="M29" s="58" t="s">
        <v>201</v>
      </c>
      <c r="N29" s="58"/>
      <c r="O29" s="58"/>
      <c r="P29" s="61" t="s">
        <v>201</v>
      </c>
      <c r="Q29" s="61"/>
      <c r="R29" s="61"/>
      <c r="S29" s="76" t="s">
        <v>202</v>
      </c>
      <c r="T29" s="53"/>
      <c r="U29" s="53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53" t="s">
        <v>36</v>
      </c>
      <c r="B30" s="53"/>
      <c r="C30" s="53"/>
      <c r="D30" s="53" t="s">
        <v>35</v>
      </c>
      <c r="E30" s="53"/>
      <c r="F30" s="53"/>
      <c r="G30" s="57" t="s">
        <v>203</v>
      </c>
      <c r="H30" s="57"/>
      <c r="I30" s="57"/>
      <c r="J30" s="65" t="s">
        <v>197</v>
      </c>
      <c r="K30" s="65"/>
      <c r="L30" s="65"/>
      <c r="M30" s="58" t="s">
        <v>203</v>
      </c>
      <c r="N30" s="58"/>
      <c r="O30" s="58"/>
      <c r="P30" s="53" t="s">
        <v>36</v>
      </c>
      <c r="Q30" s="53"/>
      <c r="R30" s="53"/>
      <c r="S30" s="76" t="s">
        <v>202</v>
      </c>
      <c r="T30" s="53"/>
      <c r="U30" s="53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79" t="s">
        <v>41</v>
      </c>
      <c r="B31" s="79"/>
      <c r="C31" s="79"/>
      <c r="D31" s="63" t="s">
        <v>89</v>
      </c>
      <c r="E31" s="64"/>
      <c r="F31" s="64"/>
      <c r="G31" s="89" t="s">
        <v>201</v>
      </c>
      <c r="H31" s="90"/>
      <c r="I31" s="91"/>
      <c r="J31" s="95" t="s">
        <v>197</v>
      </c>
      <c r="K31" s="96"/>
      <c r="L31" s="97"/>
      <c r="M31" s="92" t="s">
        <v>201</v>
      </c>
      <c r="N31" s="93"/>
      <c r="O31" s="94"/>
      <c r="P31" s="73" t="s">
        <v>36</v>
      </c>
      <c r="Q31" s="74"/>
      <c r="R31" s="75"/>
      <c r="S31" s="83" t="s">
        <v>202</v>
      </c>
      <c r="T31" s="84"/>
      <c r="U31" s="85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78" t="s">
        <v>90</v>
      </c>
      <c r="B32" s="78"/>
      <c r="C32" s="78"/>
      <c r="D32" s="53" t="s">
        <v>48</v>
      </c>
      <c r="E32" s="53"/>
      <c r="F32" s="53"/>
      <c r="G32" s="57" t="s">
        <v>201</v>
      </c>
      <c r="H32" s="57"/>
      <c r="I32" s="57"/>
      <c r="J32" s="65" t="s">
        <v>197</v>
      </c>
      <c r="K32" s="65"/>
      <c r="L32" s="65"/>
      <c r="M32" s="58" t="s">
        <v>201</v>
      </c>
      <c r="N32" s="58"/>
      <c r="O32" s="58"/>
      <c r="P32" s="53" t="s">
        <v>36</v>
      </c>
      <c r="Q32" s="53"/>
      <c r="R32" s="53"/>
      <c r="S32" s="76" t="s">
        <v>202</v>
      </c>
      <c r="T32" s="53"/>
      <c r="U32" s="53"/>
    </row>
    <row r="33" spans="1:21" x14ac:dyDescent="0.25">
      <c r="A33" s="78" t="s">
        <v>42</v>
      </c>
      <c r="B33" s="78"/>
      <c r="C33" s="78"/>
      <c r="D33" s="53" t="s">
        <v>49</v>
      </c>
      <c r="E33" s="53"/>
      <c r="F33" s="53"/>
      <c r="G33" s="57" t="s">
        <v>36</v>
      </c>
      <c r="H33" s="57"/>
      <c r="I33" s="57"/>
      <c r="J33" s="65" t="s">
        <v>197</v>
      </c>
      <c r="K33" s="65"/>
      <c r="L33" s="65"/>
      <c r="M33" s="58" t="s">
        <v>36</v>
      </c>
      <c r="N33" s="58"/>
      <c r="O33" s="58"/>
      <c r="P33" s="53" t="s">
        <v>36</v>
      </c>
      <c r="Q33" s="53"/>
      <c r="R33" s="53"/>
      <c r="S33" s="76" t="s">
        <v>202</v>
      </c>
      <c r="T33" s="53"/>
      <c r="U33" s="53"/>
    </row>
    <row r="34" spans="1:21" x14ac:dyDescent="0.25">
      <c r="A34" s="77" t="s">
        <v>204</v>
      </c>
      <c r="B34" s="78"/>
      <c r="C34" s="78"/>
      <c r="D34" s="53" t="s">
        <v>50</v>
      </c>
      <c r="E34" s="53"/>
      <c r="F34" s="53"/>
      <c r="G34" s="57" t="s">
        <v>36</v>
      </c>
      <c r="H34" s="57"/>
      <c r="I34" s="57"/>
      <c r="J34" s="86" t="s">
        <v>199</v>
      </c>
      <c r="K34" s="86"/>
      <c r="L34" s="86"/>
      <c r="M34" s="58" t="s">
        <v>201</v>
      </c>
      <c r="N34" s="58"/>
      <c r="O34" s="58"/>
      <c r="P34" s="53" t="s">
        <v>36</v>
      </c>
      <c r="Q34" s="53"/>
      <c r="R34" s="53"/>
      <c r="S34" s="53" t="s">
        <v>36</v>
      </c>
      <c r="T34" s="53"/>
      <c r="U34" s="53"/>
    </row>
    <row r="35" spans="1:21" x14ac:dyDescent="0.25">
      <c r="A35" s="77" t="s">
        <v>211</v>
      </c>
      <c r="B35" s="78"/>
      <c r="C35" s="78"/>
      <c r="D35" s="53" t="s">
        <v>51</v>
      </c>
      <c r="E35" s="53"/>
      <c r="F35" s="53"/>
      <c r="G35" s="57" t="s">
        <v>36</v>
      </c>
      <c r="H35" s="57"/>
      <c r="I35" s="57"/>
      <c r="J35" s="65" t="s">
        <v>197</v>
      </c>
      <c r="K35" s="65"/>
      <c r="L35" s="65"/>
      <c r="M35" s="58" t="s">
        <v>201</v>
      </c>
      <c r="N35" s="58"/>
      <c r="O35" s="58"/>
      <c r="P35" s="53" t="s">
        <v>36</v>
      </c>
      <c r="Q35" s="53"/>
      <c r="R35" s="53"/>
      <c r="S35" s="76" t="s">
        <v>202</v>
      </c>
      <c r="T35" s="53"/>
      <c r="U35" s="53"/>
    </row>
    <row r="36" spans="1:21" x14ac:dyDescent="0.25">
      <c r="A36" s="78" t="s">
        <v>43</v>
      </c>
      <c r="B36" s="78"/>
      <c r="C36" s="78"/>
      <c r="D36" s="53" t="s">
        <v>52</v>
      </c>
      <c r="E36" s="53"/>
      <c r="F36" s="53"/>
      <c r="G36" s="57" t="s">
        <v>201</v>
      </c>
      <c r="H36" s="57"/>
      <c r="I36" s="57"/>
      <c r="J36" s="65" t="s">
        <v>197</v>
      </c>
      <c r="K36" s="65"/>
      <c r="L36" s="65"/>
      <c r="M36" s="58" t="s">
        <v>201</v>
      </c>
      <c r="N36" s="58"/>
      <c r="O36" s="58"/>
      <c r="P36" s="53" t="s">
        <v>36</v>
      </c>
      <c r="Q36" s="53"/>
      <c r="R36" s="53"/>
      <c r="S36" s="76" t="s">
        <v>202</v>
      </c>
      <c r="T36" s="53"/>
      <c r="U36" s="53"/>
    </row>
    <row r="37" spans="1:21" x14ac:dyDescent="0.25">
      <c r="A37" s="78">
        <v>203076001000</v>
      </c>
      <c r="B37" s="78"/>
      <c r="C37" s="78"/>
      <c r="D37" s="53" t="s">
        <v>53</v>
      </c>
      <c r="E37" s="53"/>
      <c r="F37" s="53"/>
      <c r="G37" s="57" t="s">
        <v>36</v>
      </c>
      <c r="H37" s="57"/>
      <c r="I37" s="57"/>
      <c r="J37" s="65" t="s">
        <v>197</v>
      </c>
      <c r="K37" s="65"/>
      <c r="L37" s="65"/>
      <c r="M37" s="58" t="s">
        <v>201</v>
      </c>
      <c r="N37" s="58"/>
      <c r="O37" s="58"/>
      <c r="P37" s="53" t="s">
        <v>36</v>
      </c>
      <c r="Q37" s="53"/>
      <c r="R37" s="53"/>
      <c r="S37" s="76" t="s">
        <v>202</v>
      </c>
      <c r="T37" s="53"/>
      <c r="U37" s="53"/>
    </row>
    <row r="38" spans="1:21" x14ac:dyDescent="0.25">
      <c r="A38" s="78" t="s">
        <v>44</v>
      </c>
      <c r="B38" s="78"/>
      <c r="C38" s="78"/>
      <c r="D38" s="53" t="s">
        <v>54</v>
      </c>
      <c r="E38" s="53"/>
      <c r="F38" s="53"/>
      <c r="G38" s="57" t="s">
        <v>36</v>
      </c>
      <c r="H38" s="57"/>
      <c r="I38" s="57"/>
      <c r="J38" s="65" t="s">
        <v>197</v>
      </c>
      <c r="K38" s="65"/>
      <c r="L38" s="65"/>
      <c r="M38" s="58" t="s">
        <v>201</v>
      </c>
      <c r="N38" s="58"/>
      <c r="O38" s="58"/>
      <c r="P38" s="53" t="s">
        <v>36</v>
      </c>
      <c r="Q38" s="53"/>
      <c r="R38" s="53"/>
      <c r="S38" s="76" t="s">
        <v>202</v>
      </c>
      <c r="T38" s="53"/>
      <c r="U38" s="53"/>
    </row>
    <row r="39" spans="1:21" x14ac:dyDescent="0.25">
      <c r="A39" s="77" t="s">
        <v>207</v>
      </c>
      <c r="B39" s="78"/>
      <c r="C39" s="78"/>
      <c r="D39" s="53" t="s">
        <v>55</v>
      </c>
      <c r="E39" s="53"/>
      <c r="F39" s="53"/>
      <c r="G39" s="57" t="s">
        <v>36</v>
      </c>
      <c r="H39" s="57"/>
      <c r="I39" s="57"/>
      <c r="J39" s="86" t="s">
        <v>199</v>
      </c>
      <c r="K39" s="86"/>
      <c r="L39" s="86"/>
      <c r="M39" s="58" t="s">
        <v>201</v>
      </c>
      <c r="N39" s="58"/>
      <c r="O39" s="58"/>
      <c r="P39" s="53" t="s">
        <v>36</v>
      </c>
      <c r="Q39" s="53"/>
      <c r="R39" s="53"/>
      <c r="S39" s="76" t="s">
        <v>202</v>
      </c>
      <c r="T39" s="53"/>
      <c r="U39" s="53"/>
    </row>
    <row r="40" spans="1:21" x14ac:dyDescent="0.25">
      <c r="A40" s="77" t="s">
        <v>208</v>
      </c>
      <c r="B40" s="78"/>
      <c r="C40" s="78"/>
      <c r="D40" s="53" t="s">
        <v>56</v>
      </c>
      <c r="E40" s="53"/>
      <c r="F40" s="53"/>
      <c r="G40" s="57" t="s">
        <v>36</v>
      </c>
      <c r="H40" s="57"/>
      <c r="I40" s="57"/>
      <c r="J40" s="86" t="s">
        <v>199</v>
      </c>
      <c r="K40" s="86"/>
      <c r="L40" s="86"/>
      <c r="M40" s="58" t="s">
        <v>201</v>
      </c>
      <c r="N40" s="58"/>
      <c r="O40" s="58"/>
      <c r="P40" s="53" t="s">
        <v>36</v>
      </c>
      <c r="Q40" s="53"/>
      <c r="R40" s="53"/>
      <c r="S40" s="76" t="s">
        <v>202</v>
      </c>
      <c r="T40" s="53"/>
      <c r="U40" s="53"/>
    </row>
    <row r="41" spans="1:21" x14ac:dyDescent="0.25">
      <c r="A41" s="78" t="s">
        <v>45</v>
      </c>
      <c r="B41" s="78"/>
      <c r="C41" s="78"/>
      <c r="D41" s="53" t="s">
        <v>57</v>
      </c>
      <c r="E41" s="53"/>
      <c r="F41" s="53"/>
      <c r="G41" s="57" t="s">
        <v>36</v>
      </c>
      <c r="H41" s="57"/>
      <c r="I41" s="57"/>
      <c r="J41" s="86" t="s">
        <v>199</v>
      </c>
      <c r="K41" s="86"/>
      <c r="L41" s="86"/>
      <c r="M41" s="58" t="s">
        <v>201</v>
      </c>
      <c r="N41" s="58"/>
      <c r="O41" s="58"/>
      <c r="P41" s="53" t="s">
        <v>36</v>
      </c>
      <c r="Q41" s="53"/>
      <c r="R41" s="53"/>
      <c r="S41" s="53" t="s">
        <v>36</v>
      </c>
      <c r="T41" s="53"/>
      <c r="U41" s="53"/>
    </row>
    <row r="42" spans="1:21" x14ac:dyDescent="0.25">
      <c r="A42" s="78" t="s">
        <v>46</v>
      </c>
      <c r="B42" s="78"/>
      <c r="C42" s="78"/>
      <c r="D42" s="53" t="s">
        <v>58</v>
      </c>
      <c r="E42" s="53"/>
      <c r="F42" s="53"/>
      <c r="G42" s="57" t="s">
        <v>36</v>
      </c>
      <c r="H42" s="57"/>
      <c r="I42" s="57"/>
      <c r="J42" s="65" t="s">
        <v>197</v>
      </c>
      <c r="K42" s="65"/>
      <c r="L42" s="65"/>
      <c r="M42" s="58" t="s">
        <v>36</v>
      </c>
      <c r="N42" s="58"/>
      <c r="O42" s="58"/>
      <c r="P42" s="61" t="s">
        <v>201</v>
      </c>
      <c r="Q42" s="61"/>
      <c r="R42" s="61"/>
      <c r="S42" s="76" t="s">
        <v>202</v>
      </c>
      <c r="T42" s="53"/>
      <c r="U42" s="53"/>
    </row>
    <row r="43" spans="1:21" x14ac:dyDescent="0.25">
      <c r="A43" s="77" t="s">
        <v>209</v>
      </c>
      <c r="B43" s="78"/>
      <c r="C43" s="78"/>
      <c r="D43" s="53" t="s">
        <v>59</v>
      </c>
      <c r="E43" s="53"/>
      <c r="F43" s="53"/>
      <c r="G43" s="57" t="s">
        <v>36</v>
      </c>
      <c r="H43" s="57"/>
      <c r="I43" s="57"/>
      <c r="J43" s="65" t="s">
        <v>197</v>
      </c>
      <c r="K43" s="65"/>
      <c r="L43" s="65"/>
      <c r="M43" s="58" t="s">
        <v>201</v>
      </c>
      <c r="N43" s="58"/>
      <c r="O43" s="58"/>
      <c r="P43" s="61" t="s">
        <v>201</v>
      </c>
      <c r="Q43" s="61"/>
      <c r="R43" s="61"/>
      <c r="S43" s="76" t="s">
        <v>202</v>
      </c>
      <c r="T43" s="53"/>
      <c r="U43" s="53"/>
    </row>
    <row r="44" spans="1:21" x14ac:dyDescent="0.25">
      <c r="A44" s="78" t="s">
        <v>47</v>
      </c>
      <c r="B44" s="78"/>
      <c r="C44" s="78"/>
      <c r="D44" s="53" t="s">
        <v>60</v>
      </c>
      <c r="E44" s="53"/>
      <c r="F44" s="53"/>
      <c r="G44" s="57" t="s">
        <v>201</v>
      </c>
      <c r="H44" s="57"/>
      <c r="I44" s="57"/>
      <c r="J44" s="65" t="s">
        <v>197</v>
      </c>
      <c r="K44" s="65"/>
      <c r="L44" s="65"/>
      <c r="M44" s="58" t="s">
        <v>201</v>
      </c>
      <c r="N44" s="58"/>
      <c r="O44" s="58"/>
      <c r="P44" s="61" t="s">
        <v>201</v>
      </c>
      <c r="Q44" s="61"/>
      <c r="R44" s="61"/>
      <c r="S44" s="53" t="s">
        <v>36</v>
      </c>
      <c r="T44" s="53"/>
      <c r="U44" s="53"/>
    </row>
    <row r="45" spans="1:21" x14ac:dyDescent="0.25">
      <c r="A45" s="79" t="s">
        <v>2</v>
      </c>
      <c r="B45" s="79"/>
      <c r="C45" s="79"/>
      <c r="D45" s="64" t="s">
        <v>4</v>
      </c>
      <c r="E45" s="64"/>
      <c r="F45" s="64"/>
      <c r="G45" s="66" t="s">
        <v>203</v>
      </c>
      <c r="H45" s="67"/>
      <c r="I45" s="67"/>
      <c r="J45" s="63" t="s">
        <v>203</v>
      </c>
      <c r="K45" s="64"/>
      <c r="L45" s="64"/>
      <c r="M45" s="68" t="s">
        <v>203</v>
      </c>
      <c r="N45" s="69"/>
      <c r="O45" s="69"/>
      <c r="P45" s="63" t="s">
        <v>203</v>
      </c>
      <c r="Q45" s="64"/>
      <c r="R45" s="64"/>
      <c r="S45" s="63" t="s">
        <v>203</v>
      </c>
      <c r="T45" s="64"/>
      <c r="U45" s="64"/>
    </row>
    <row r="46" spans="1:21" x14ac:dyDescent="0.25">
      <c r="A46" s="78" t="s">
        <v>61</v>
      </c>
      <c r="B46" s="78"/>
      <c r="C46" s="78"/>
      <c r="D46" s="78" t="s">
        <v>72</v>
      </c>
      <c r="E46" s="78"/>
      <c r="F46" s="78"/>
      <c r="G46" s="57" t="s">
        <v>36</v>
      </c>
      <c r="H46" s="57"/>
      <c r="I46" s="57"/>
      <c r="J46" s="65" t="s">
        <v>197</v>
      </c>
      <c r="K46" s="65"/>
      <c r="L46" s="65"/>
      <c r="M46" s="58" t="s">
        <v>36</v>
      </c>
      <c r="N46" s="58"/>
      <c r="O46" s="58"/>
      <c r="P46" s="53" t="s">
        <v>36</v>
      </c>
      <c r="Q46" s="53"/>
      <c r="R46" s="53"/>
      <c r="S46" s="76" t="s">
        <v>202</v>
      </c>
      <c r="T46" s="53"/>
      <c r="U46" s="53"/>
    </row>
    <row r="47" spans="1:21" x14ac:dyDescent="0.25">
      <c r="A47" s="80" t="s">
        <v>204</v>
      </c>
      <c r="B47" s="71"/>
      <c r="C47" s="72"/>
      <c r="D47" s="53" t="s">
        <v>49</v>
      </c>
      <c r="E47" s="53"/>
      <c r="F47" s="53"/>
      <c r="G47" s="57" t="s">
        <v>36</v>
      </c>
      <c r="H47" s="57"/>
      <c r="I47" s="57"/>
      <c r="J47" s="65" t="s">
        <v>197</v>
      </c>
      <c r="K47" s="65"/>
      <c r="L47" s="65"/>
      <c r="M47" s="58" t="s">
        <v>201</v>
      </c>
      <c r="N47" s="58"/>
      <c r="O47" s="58"/>
      <c r="P47" s="53" t="s">
        <v>36</v>
      </c>
      <c r="Q47" s="53"/>
      <c r="R47" s="53"/>
      <c r="S47" s="76" t="s">
        <v>202</v>
      </c>
      <c r="T47" s="53"/>
      <c r="U47" s="53"/>
    </row>
    <row r="48" spans="1:21" x14ac:dyDescent="0.25">
      <c r="A48" s="78" t="s">
        <v>62</v>
      </c>
      <c r="B48" s="78"/>
      <c r="C48" s="78"/>
      <c r="D48" s="53" t="s">
        <v>73</v>
      </c>
      <c r="E48" s="53"/>
      <c r="F48" s="53"/>
      <c r="G48" s="57" t="s">
        <v>201</v>
      </c>
      <c r="H48" s="57"/>
      <c r="I48" s="57"/>
      <c r="J48" s="65" t="s">
        <v>197</v>
      </c>
      <c r="K48" s="65"/>
      <c r="L48" s="65"/>
      <c r="M48" s="58" t="s">
        <v>201</v>
      </c>
      <c r="N48" s="58"/>
      <c r="O48" s="58"/>
      <c r="P48" s="61" t="s">
        <v>201</v>
      </c>
      <c r="Q48" s="61"/>
      <c r="R48" s="61"/>
      <c r="S48" s="53" t="s">
        <v>36</v>
      </c>
      <c r="T48" s="53"/>
      <c r="U48" s="53"/>
    </row>
    <row r="49" spans="1:21" x14ac:dyDescent="0.25">
      <c r="A49" s="78" t="s">
        <v>63</v>
      </c>
      <c r="B49" s="78"/>
      <c r="C49" s="78"/>
      <c r="D49" s="53" t="s">
        <v>74</v>
      </c>
      <c r="E49" s="53"/>
      <c r="F49" s="53"/>
      <c r="G49" s="57" t="s">
        <v>201</v>
      </c>
      <c r="H49" s="57"/>
      <c r="I49" s="57"/>
      <c r="J49" s="86" t="s">
        <v>199</v>
      </c>
      <c r="K49" s="86"/>
      <c r="L49" s="86"/>
      <c r="M49" s="58" t="s">
        <v>201</v>
      </c>
      <c r="N49" s="58"/>
      <c r="O49" s="58"/>
      <c r="P49" s="53" t="s">
        <v>36</v>
      </c>
      <c r="Q49" s="53"/>
      <c r="R49" s="53"/>
      <c r="S49" s="53" t="s">
        <v>36</v>
      </c>
      <c r="T49" s="53"/>
      <c r="U49" s="53"/>
    </row>
    <row r="50" spans="1:21" x14ac:dyDescent="0.25">
      <c r="A50" s="77" t="s">
        <v>205</v>
      </c>
      <c r="B50" s="78"/>
      <c r="C50" s="78"/>
      <c r="D50" s="53" t="s">
        <v>51</v>
      </c>
      <c r="E50" s="53"/>
      <c r="F50" s="53"/>
      <c r="G50" s="57" t="s">
        <v>36</v>
      </c>
      <c r="H50" s="57"/>
      <c r="I50" s="57"/>
      <c r="J50" s="65" t="s">
        <v>197</v>
      </c>
      <c r="K50" s="65"/>
      <c r="L50" s="65"/>
      <c r="M50" s="58" t="s">
        <v>36</v>
      </c>
      <c r="N50" s="58"/>
      <c r="O50" s="58"/>
      <c r="P50" s="61" t="s">
        <v>201</v>
      </c>
      <c r="Q50" s="61"/>
      <c r="R50" s="61"/>
      <c r="S50" s="53" t="s">
        <v>36</v>
      </c>
      <c r="T50" s="53"/>
      <c r="U50" s="53"/>
    </row>
    <row r="51" spans="1:21" x14ac:dyDescent="0.25">
      <c r="A51" s="78" t="s">
        <v>64</v>
      </c>
      <c r="B51" s="78"/>
      <c r="C51" s="78"/>
      <c r="D51" s="53" t="s">
        <v>75</v>
      </c>
      <c r="E51" s="53"/>
      <c r="F51" s="53"/>
      <c r="G51" s="57" t="s">
        <v>36</v>
      </c>
      <c r="H51" s="57"/>
      <c r="I51" s="57"/>
      <c r="J51" s="65" t="s">
        <v>197</v>
      </c>
      <c r="K51" s="65"/>
      <c r="L51" s="65"/>
      <c r="M51" s="58" t="s">
        <v>36</v>
      </c>
      <c r="N51" s="58"/>
      <c r="O51" s="58"/>
      <c r="P51" s="61" t="s">
        <v>201</v>
      </c>
      <c r="Q51" s="61"/>
      <c r="R51" s="61"/>
      <c r="S51" s="53" t="s">
        <v>36</v>
      </c>
      <c r="T51" s="53"/>
      <c r="U51" s="53"/>
    </row>
    <row r="52" spans="1:21" x14ac:dyDescent="0.25">
      <c r="A52" s="78" t="s">
        <v>44</v>
      </c>
      <c r="B52" s="78"/>
      <c r="C52" s="78"/>
      <c r="D52" s="53" t="s">
        <v>54</v>
      </c>
      <c r="E52" s="53"/>
      <c r="F52" s="53"/>
      <c r="G52" s="57" t="s">
        <v>36</v>
      </c>
      <c r="H52" s="57"/>
      <c r="I52" s="57"/>
      <c r="J52" s="65" t="s">
        <v>197</v>
      </c>
      <c r="K52" s="65"/>
      <c r="L52" s="65"/>
      <c r="M52" s="58" t="s">
        <v>201</v>
      </c>
      <c r="N52" s="58"/>
      <c r="O52" s="58"/>
      <c r="P52" s="61" t="s">
        <v>201</v>
      </c>
      <c r="Q52" s="61"/>
      <c r="R52" s="61"/>
      <c r="S52" s="53" t="s">
        <v>36</v>
      </c>
      <c r="T52" s="53"/>
      <c r="U52" s="53"/>
    </row>
    <row r="53" spans="1:21" x14ac:dyDescent="0.25">
      <c r="A53" s="77" t="s">
        <v>206</v>
      </c>
      <c r="B53" s="78"/>
      <c r="C53" s="78"/>
      <c r="D53" s="53" t="s">
        <v>76</v>
      </c>
      <c r="E53" s="53"/>
      <c r="F53" s="53"/>
      <c r="G53" s="57" t="s">
        <v>36</v>
      </c>
      <c r="H53" s="57"/>
      <c r="I53" s="57"/>
      <c r="J53" s="86" t="s">
        <v>199</v>
      </c>
      <c r="K53" s="86"/>
      <c r="L53" s="86"/>
      <c r="M53" s="58" t="s">
        <v>201</v>
      </c>
      <c r="N53" s="58"/>
      <c r="O53" s="58"/>
      <c r="P53" s="53" t="s">
        <v>36</v>
      </c>
      <c r="Q53" s="53"/>
      <c r="R53" s="53"/>
      <c r="S53" s="53" t="s">
        <v>36</v>
      </c>
      <c r="T53" s="53"/>
      <c r="U53" s="53"/>
    </row>
    <row r="54" spans="1:21" x14ac:dyDescent="0.25">
      <c r="A54" s="80" t="s">
        <v>207</v>
      </c>
      <c r="B54" s="71"/>
      <c r="C54" s="72"/>
      <c r="D54" s="53" t="s">
        <v>55</v>
      </c>
      <c r="E54" s="53"/>
      <c r="F54" s="53"/>
      <c r="G54" s="57" t="s">
        <v>36</v>
      </c>
      <c r="H54" s="57"/>
      <c r="I54" s="57"/>
      <c r="J54" s="86" t="s">
        <v>199</v>
      </c>
      <c r="K54" s="86"/>
      <c r="L54" s="86"/>
      <c r="M54" s="58" t="s">
        <v>201</v>
      </c>
      <c r="N54" s="58"/>
      <c r="O54" s="58"/>
      <c r="P54" s="53" t="s">
        <v>36</v>
      </c>
      <c r="Q54" s="53"/>
      <c r="R54" s="53"/>
      <c r="S54" s="53" t="s">
        <v>36</v>
      </c>
      <c r="T54" s="53"/>
      <c r="U54" s="53"/>
    </row>
    <row r="55" spans="1:21" x14ac:dyDescent="0.25">
      <c r="A55" s="80" t="s">
        <v>208</v>
      </c>
      <c r="B55" s="71"/>
      <c r="C55" s="72"/>
      <c r="D55" s="53" t="s">
        <v>56</v>
      </c>
      <c r="E55" s="53"/>
      <c r="F55" s="53"/>
      <c r="G55" s="57" t="s">
        <v>36</v>
      </c>
      <c r="H55" s="57"/>
      <c r="I55" s="57"/>
      <c r="J55" s="86" t="s">
        <v>199</v>
      </c>
      <c r="K55" s="86"/>
      <c r="L55" s="86"/>
      <c r="M55" s="58" t="s">
        <v>201</v>
      </c>
      <c r="N55" s="58"/>
      <c r="O55" s="58"/>
      <c r="P55" s="53" t="s">
        <v>36</v>
      </c>
      <c r="Q55" s="53"/>
      <c r="R55" s="53"/>
      <c r="S55" s="53" t="s">
        <v>36</v>
      </c>
      <c r="T55" s="53"/>
      <c r="U55" s="53"/>
    </row>
    <row r="56" spans="1:21" x14ac:dyDescent="0.25">
      <c r="A56" s="78" t="s">
        <v>65</v>
      </c>
      <c r="B56" s="78"/>
      <c r="C56" s="78"/>
      <c r="D56" s="53" t="s">
        <v>77</v>
      </c>
      <c r="E56" s="53"/>
      <c r="F56" s="53"/>
      <c r="G56" s="57" t="s">
        <v>36</v>
      </c>
      <c r="H56" s="57"/>
      <c r="I56" s="57"/>
      <c r="J56" s="65" t="s">
        <v>197</v>
      </c>
      <c r="K56" s="65"/>
      <c r="L56" s="65"/>
      <c r="M56" s="58" t="s">
        <v>36</v>
      </c>
      <c r="N56" s="58"/>
      <c r="O56" s="58"/>
      <c r="P56" s="61" t="s">
        <v>201</v>
      </c>
      <c r="Q56" s="61"/>
      <c r="R56" s="61"/>
      <c r="S56" s="76" t="s">
        <v>202</v>
      </c>
      <c r="T56" s="53"/>
      <c r="U56" s="53"/>
    </row>
    <row r="57" spans="1:21" x14ac:dyDescent="0.25">
      <c r="A57" s="78" t="s">
        <v>46</v>
      </c>
      <c r="B57" s="78"/>
      <c r="C57" s="78"/>
      <c r="D57" s="53" t="s">
        <v>78</v>
      </c>
      <c r="E57" s="53"/>
      <c r="F57" s="53"/>
      <c r="G57" s="57" t="s">
        <v>36</v>
      </c>
      <c r="H57" s="57"/>
      <c r="I57" s="57"/>
      <c r="J57" s="65" t="s">
        <v>197</v>
      </c>
      <c r="K57" s="65"/>
      <c r="L57" s="65"/>
      <c r="M57" s="58" t="s">
        <v>36</v>
      </c>
      <c r="N57" s="58"/>
      <c r="O57" s="58"/>
      <c r="P57" s="61" t="s">
        <v>201</v>
      </c>
      <c r="Q57" s="61"/>
      <c r="R57" s="61"/>
      <c r="S57" s="76" t="s">
        <v>202</v>
      </c>
      <c r="T57" s="53"/>
      <c r="U57" s="53"/>
    </row>
    <row r="58" spans="1:21" x14ac:dyDescent="0.25">
      <c r="A58" s="78">
        <v>203020004500</v>
      </c>
      <c r="B58" s="78"/>
      <c r="C58" s="78"/>
      <c r="D58" s="53" t="s">
        <v>79</v>
      </c>
      <c r="E58" s="53"/>
      <c r="F58" s="53"/>
      <c r="G58" s="57" t="s">
        <v>201</v>
      </c>
      <c r="H58" s="57"/>
      <c r="I58" s="57"/>
      <c r="J58" s="86" t="s">
        <v>199</v>
      </c>
      <c r="K58" s="86"/>
      <c r="L58" s="86"/>
      <c r="M58" s="58" t="s">
        <v>201</v>
      </c>
      <c r="N58" s="58"/>
      <c r="O58" s="58"/>
      <c r="P58" s="53" t="s">
        <v>36</v>
      </c>
      <c r="Q58" s="53"/>
      <c r="R58" s="53"/>
      <c r="S58" s="53" t="s">
        <v>36</v>
      </c>
      <c r="T58" s="53"/>
      <c r="U58" s="53"/>
    </row>
    <row r="59" spans="1:21" x14ac:dyDescent="0.25">
      <c r="A59" s="78" t="s">
        <v>66</v>
      </c>
      <c r="B59" s="78"/>
      <c r="C59" s="78"/>
      <c r="D59" s="53" t="s">
        <v>80</v>
      </c>
      <c r="E59" s="53"/>
      <c r="F59" s="53"/>
      <c r="G59" s="57" t="s">
        <v>36</v>
      </c>
      <c r="H59" s="57"/>
      <c r="I59" s="57"/>
      <c r="J59" s="65" t="s">
        <v>197</v>
      </c>
      <c r="K59" s="65"/>
      <c r="L59" s="65"/>
      <c r="M59" s="58" t="s">
        <v>36</v>
      </c>
      <c r="N59" s="58"/>
      <c r="O59" s="58"/>
      <c r="P59" s="53" t="s">
        <v>36</v>
      </c>
      <c r="Q59" s="53"/>
      <c r="R59" s="53"/>
      <c r="S59" s="76" t="s">
        <v>202</v>
      </c>
      <c r="T59" s="53"/>
      <c r="U59" s="53"/>
    </row>
    <row r="60" spans="1:21" x14ac:dyDescent="0.25">
      <c r="A60" s="77" t="s">
        <v>209</v>
      </c>
      <c r="B60" s="78"/>
      <c r="C60" s="78"/>
      <c r="D60" s="53" t="s">
        <v>81</v>
      </c>
      <c r="E60" s="53"/>
      <c r="F60" s="53"/>
      <c r="G60" s="57" t="s">
        <v>36</v>
      </c>
      <c r="H60" s="57"/>
      <c r="I60" s="57"/>
      <c r="J60" s="65" t="s">
        <v>197</v>
      </c>
      <c r="K60" s="65"/>
      <c r="L60" s="65"/>
      <c r="M60" s="58" t="s">
        <v>201</v>
      </c>
      <c r="N60" s="58"/>
      <c r="O60" s="58"/>
      <c r="P60" s="61" t="s">
        <v>201</v>
      </c>
      <c r="Q60" s="61"/>
      <c r="R60" s="61"/>
      <c r="S60" s="53" t="s">
        <v>36</v>
      </c>
      <c r="T60" s="53"/>
      <c r="U60" s="53"/>
    </row>
    <row r="61" spans="1:21" x14ac:dyDescent="0.25">
      <c r="A61" s="78">
        <v>203065094300</v>
      </c>
      <c r="B61" s="78"/>
      <c r="C61" s="78"/>
      <c r="D61" s="53" t="s">
        <v>82</v>
      </c>
      <c r="E61" s="53"/>
      <c r="F61" s="53"/>
      <c r="G61" s="57" t="s">
        <v>36</v>
      </c>
      <c r="H61" s="57"/>
      <c r="I61" s="57"/>
      <c r="J61" s="65" t="s">
        <v>197</v>
      </c>
      <c r="K61" s="65"/>
      <c r="L61" s="65"/>
      <c r="M61" s="58" t="s">
        <v>36</v>
      </c>
      <c r="N61" s="58"/>
      <c r="O61" s="58"/>
      <c r="P61" s="61" t="s">
        <v>201</v>
      </c>
      <c r="Q61" s="61"/>
      <c r="R61" s="61"/>
      <c r="S61" s="53" t="s">
        <v>36</v>
      </c>
      <c r="T61" s="53"/>
      <c r="U61" s="53"/>
    </row>
    <row r="62" spans="1:21" x14ac:dyDescent="0.25">
      <c r="A62" s="78" t="s">
        <v>67</v>
      </c>
      <c r="B62" s="78"/>
      <c r="C62" s="78"/>
      <c r="D62" s="53" t="s">
        <v>83</v>
      </c>
      <c r="E62" s="53"/>
      <c r="F62" s="53"/>
      <c r="G62" s="57" t="s">
        <v>201</v>
      </c>
      <c r="H62" s="57"/>
      <c r="I62" s="57"/>
      <c r="J62" s="86" t="s">
        <v>199</v>
      </c>
      <c r="K62" s="86"/>
      <c r="L62" s="86"/>
      <c r="M62" s="58" t="s">
        <v>201</v>
      </c>
      <c r="N62" s="58"/>
      <c r="O62" s="58"/>
      <c r="P62" s="53" t="s">
        <v>36</v>
      </c>
      <c r="Q62" s="53"/>
      <c r="R62" s="53"/>
      <c r="S62" s="53" t="s">
        <v>36</v>
      </c>
      <c r="T62" s="53"/>
      <c r="U62" s="53"/>
    </row>
    <row r="63" spans="1:21" x14ac:dyDescent="0.25">
      <c r="A63" s="78" t="s">
        <v>68</v>
      </c>
      <c r="B63" s="78"/>
      <c r="C63" s="78"/>
      <c r="D63" s="53" t="s">
        <v>84</v>
      </c>
      <c r="E63" s="53"/>
      <c r="F63" s="53"/>
      <c r="G63" s="57" t="s">
        <v>201</v>
      </c>
      <c r="H63" s="57"/>
      <c r="I63" s="57"/>
      <c r="J63" s="86" t="s">
        <v>199</v>
      </c>
      <c r="K63" s="86"/>
      <c r="L63" s="86"/>
      <c r="M63" s="58" t="s">
        <v>201</v>
      </c>
      <c r="N63" s="58"/>
      <c r="O63" s="58"/>
      <c r="P63" s="53" t="s">
        <v>36</v>
      </c>
      <c r="Q63" s="53"/>
      <c r="R63" s="53"/>
      <c r="S63" s="53" t="s">
        <v>36</v>
      </c>
      <c r="T63" s="53"/>
      <c r="U63" s="53"/>
    </row>
    <row r="64" spans="1:21" x14ac:dyDescent="0.25">
      <c r="A64" s="78" t="s">
        <v>69</v>
      </c>
      <c r="B64" s="78"/>
      <c r="C64" s="78"/>
      <c r="D64" s="53" t="s">
        <v>49</v>
      </c>
      <c r="E64" s="53"/>
      <c r="F64" s="53"/>
      <c r="G64" s="57" t="s">
        <v>201</v>
      </c>
      <c r="H64" s="57"/>
      <c r="I64" s="57"/>
      <c r="J64" s="86" t="s">
        <v>199</v>
      </c>
      <c r="K64" s="86"/>
      <c r="L64" s="86"/>
      <c r="M64" s="58" t="s">
        <v>201</v>
      </c>
      <c r="N64" s="58"/>
      <c r="O64" s="58"/>
      <c r="P64" s="53" t="s">
        <v>36</v>
      </c>
      <c r="Q64" s="53"/>
      <c r="R64" s="53"/>
      <c r="S64" s="53" t="s">
        <v>36</v>
      </c>
      <c r="T64" s="53"/>
      <c r="U64" s="53"/>
    </row>
    <row r="65" spans="1:21" x14ac:dyDescent="0.25">
      <c r="A65" s="78" t="s">
        <v>70</v>
      </c>
      <c r="B65" s="78"/>
      <c r="C65" s="78"/>
      <c r="D65" s="53" t="s">
        <v>85</v>
      </c>
      <c r="E65" s="53"/>
      <c r="F65" s="53"/>
      <c r="G65" s="57" t="s">
        <v>201</v>
      </c>
      <c r="H65" s="57"/>
      <c r="I65" s="57"/>
      <c r="J65" s="65" t="s">
        <v>197</v>
      </c>
      <c r="K65" s="65"/>
      <c r="L65" s="65"/>
      <c r="M65" s="58" t="s">
        <v>201</v>
      </c>
      <c r="N65" s="58"/>
      <c r="O65" s="58"/>
      <c r="P65" s="53" t="s">
        <v>36</v>
      </c>
      <c r="Q65" s="53"/>
      <c r="R65" s="53"/>
      <c r="S65" s="76" t="s">
        <v>202</v>
      </c>
      <c r="T65" s="53"/>
      <c r="U65" s="53"/>
    </row>
    <row r="66" spans="1:21" x14ac:dyDescent="0.25">
      <c r="A66" s="78" t="s">
        <v>71</v>
      </c>
      <c r="B66" s="78"/>
      <c r="C66" s="78"/>
      <c r="D66" s="53" t="s">
        <v>86</v>
      </c>
      <c r="E66" s="53"/>
      <c r="F66" s="53"/>
      <c r="G66" s="57" t="s">
        <v>36</v>
      </c>
      <c r="H66" s="57"/>
      <c r="I66" s="57"/>
      <c r="J66" s="86" t="s">
        <v>199</v>
      </c>
      <c r="K66" s="86"/>
      <c r="L66" s="86"/>
      <c r="M66" s="58" t="s">
        <v>36</v>
      </c>
      <c r="N66" s="58"/>
      <c r="O66" s="58"/>
      <c r="P66" s="53" t="s">
        <v>36</v>
      </c>
      <c r="Q66" s="53"/>
      <c r="R66" s="53"/>
      <c r="S66" s="53" t="s">
        <v>36</v>
      </c>
      <c r="T66" s="53"/>
      <c r="U66" s="53"/>
    </row>
    <row r="67" spans="1:21" x14ac:dyDescent="0.25">
      <c r="A67" s="79" t="s">
        <v>11</v>
      </c>
      <c r="B67" s="79"/>
      <c r="C67" s="79"/>
      <c r="D67" s="64" t="s">
        <v>5</v>
      </c>
      <c r="E67" s="64"/>
      <c r="F67" s="64"/>
      <c r="G67" s="66" t="s">
        <v>203</v>
      </c>
      <c r="H67" s="67"/>
      <c r="I67" s="67"/>
      <c r="J67" s="63" t="s">
        <v>203</v>
      </c>
      <c r="K67" s="64"/>
      <c r="L67" s="64"/>
      <c r="M67" s="68" t="s">
        <v>203</v>
      </c>
      <c r="N67" s="69"/>
      <c r="O67" s="69"/>
      <c r="P67" s="63" t="s">
        <v>203</v>
      </c>
      <c r="Q67" s="64"/>
      <c r="R67" s="64"/>
      <c r="S67" s="63" t="s">
        <v>203</v>
      </c>
      <c r="T67" s="64"/>
      <c r="U67" s="64"/>
    </row>
    <row r="68" spans="1:21" x14ac:dyDescent="0.25">
      <c r="A68" s="78">
        <v>203058026700</v>
      </c>
      <c r="B68" s="78"/>
      <c r="C68" s="78"/>
      <c r="D68" s="78" t="s">
        <v>92</v>
      </c>
      <c r="E68" s="78"/>
      <c r="F68" s="78"/>
      <c r="G68" s="57" t="s">
        <v>36</v>
      </c>
      <c r="H68" s="57"/>
      <c r="I68" s="57"/>
      <c r="J68" s="65" t="s">
        <v>197</v>
      </c>
      <c r="K68" s="65"/>
      <c r="L68" s="65"/>
      <c r="M68" s="58" t="s">
        <v>36</v>
      </c>
      <c r="N68" s="58"/>
      <c r="O68" s="58"/>
      <c r="P68" s="53" t="s">
        <v>36</v>
      </c>
      <c r="Q68" s="53"/>
      <c r="R68" s="53"/>
      <c r="S68" s="76" t="s">
        <v>202</v>
      </c>
      <c r="T68" s="53"/>
      <c r="U68" s="53"/>
    </row>
    <row r="69" spans="1:21" x14ac:dyDescent="0.25">
      <c r="A69" s="78">
        <v>203012000100</v>
      </c>
      <c r="B69" s="78"/>
      <c r="C69" s="78"/>
      <c r="D69" s="78" t="s">
        <v>93</v>
      </c>
      <c r="E69" s="78"/>
      <c r="F69" s="78"/>
      <c r="G69" s="57" t="s">
        <v>36</v>
      </c>
      <c r="H69" s="57"/>
      <c r="I69" s="57"/>
      <c r="J69" s="86" t="s">
        <v>199</v>
      </c>
      <c r="K69" s="86"/>
      <c r="L69" s="86"/>
      <c r="M69" s="58" t="s">
        <v>201</v>
      </c>
      <c r="N69" s="58"/>
      <c r="O69" s="58"/>
      <c r="P69" s="53" t="s">
        <v>36</v>
      </c>
      <c r="Q69" s="53"/>
      <c r="R69" s="53"/>
      <c r="S69" s="53" t="s">
        <v>36</v>
      </c>
      <c r="T69" s="53"/>
      <c r="U69" s="53"/>
    </row>
    <row r="70" spans="1:21" x14ac:dyDescent="0.25">
      <c r="A70" s="78">
        <v>203038001900</v>
      </c>
      <c r="B70" s="78"/>
      <c r="C70" s="78"/>
      <c r="D70" s="78" t="s">
        <v>37</v>
      </c>
      <c r="E70" s="78"/>
      <c r="F70" s="78"/>
      <c r="G70" s="57" t="s">
        <v>36</v>
      </c>
      <c r="H70" s="57"/>
      <c r="I70" s="57"/>
      <c r="J70" s="86" t="s">
        <v>199</v>
      </c>
      <c r="K70" s="86"/>
      <c r="L70" s="86"/>
      <c r="M70" s="58" t="s">
        <v>36</v>
      </c>
      <c r="N70" s="58"/>
      <c r="O70" s="58"/>
      <c r="P70" s="53" t="s">
        <v>36</v>
      </c>
      <c r="Q70" s="53"/>
      <c r="R70" s="53"/>
      <c r="S70" s="53" t="s">
        <v>36</v>
      </c>
      <c r="T70" s="53"/>
      <c r="U70" s="53"/>
    </row>
    <row r="71" spans="1:21" x14ac:dyDescent="0.25">
      <c r="A71" s="78">
        <v>203012000200</v>
      </c>
      <c r="B71" s="78"/>
      <c r="C71" s="78"/>
      <c r="D71" s="78" t="s">
        <v>94</v>
      </c>
      <c r="E71" s="78"/>
      <c r="F71" s="78"/>
      <c r="G71" s="57" t="s">
        <v>36</v>
      </c>
      <c r="H71" s="57"/>
      <c r="I71" s="57"/>
      <c r="J71" s="86" t="s">
        <v>199</v>
      </c>
      <c r="K71" s="86"/>
      <c r="L71" s="86"/>
      <c r="M71" s="58" t="s">
        <v>201</v>
      </c>
      <c r="N71" s="58"/>
      <c r="O71" s="58"/>
      <c r="P71" s="53" t="s">
        <v>36</v>
      </c>
      <c r="Q71" s="53"/>
      <c r="R71" s="53"/>
      <c r="S71" s="53" t="s">
        <v>36</v>
      </c>
      <c r="T71" s="53"/>
      <c r="U71" s="53"/>
    </row>
    <row r="72" spans="1:21" x14ac:dyDescent="0.25">
      <c r="A72" s="78">
        <v>203038002400</v>
      </c>
      <c r="B72" s="78"/>
      <c r="C72" s="78"/>
      <c r="D72" s="78" t="s">
        <v>37</v>
      </c>
      <c r="E72" s="78"/>
      <c r="F72" s="78"/>
      <c r="G72" s="57" t="s">
        <v>36</v>
      </c>
      <c r="H72" s="57"/>
      <c r="I72" s="57"/>
      <c r="J72" s="86" t="s">
        <v>199</v>
      </c>
      <c r="K72" s="86"/>
      <c r="L72" s="86"/>
      <c r="M72" s="58" t="s">
        <v>36</v>
      </c>
      <c r="N72" s="58"/>
      <c r="O72" s="58"/>
      <c r="P72" s="53" t="s">
        <v>36</v>
      </c>
      <c r="Q72" s="53"/>
      <c r="R72" s="53"/>
      <c r="S72" s="53" t="s">
        <v>36</v>
      </c>
      <c r="T72" s="53"/>
      <c r="U72" s="53"/>
    </row>
    <row r="73" spans="1:21" x14ac:dyDescent="0.25">
      <c r="A73" s="78" t="s">
        <v>91</v>
      </c>
      <c r="B73" s="78"/>
      <c r="C73" s="78"/>
      <c r="D73" s="78" t="s">
        <v>78</v>
      </c>
      <c r="E73" s="78"/>
      <c r="F73" s="78"/>
      <c r="G73" s="57" t="s">
        <v>36</v>
      </c>
      <c r="H73" s="57"/>
      <c r="I73" s="57"/>
      <c r="J73" s="65" t="s">
        <v>197</v>
      </c>
      <c r="K73" s="65"/>
      <c r="L73" s="65"/>
      <c r="M73" s="58" t="s">
        <v>36</v>
      </c>
      <c r="N73" s="58"/>
      <c r="O73" s="58"/>
      <c r="P73" s="53" t="s">
        <v>36</v>
      </c>
      <c r="Q73" s="53"/>
      <c r="R73" s="53"/>
      <c r="S73" s="76" t="s">
        <v>202</v>
      </c>
      <c r="T73" s="53"/>
      <c r="U73" s="53"/>
    </row>
    <row r="74" spans="1:21" x14ac:dyDescent="0.25">
      <c r="A74" s="78">
        <v>203065027700</v>
      </c>
      <c r="B74" s="78"/>
      <c r="C74" s="78"/>
      <c r="D74" s="78" t="s">
        <v>95</v>
      </c>
      <c r="E74" s="78"/>
      <c r="F74" s="78"/>
      <c r="G74" s="57" t="s">
        <v>201</v>
      </c>
      <c r="H74" s="57"/>
      <c r="I74" s="57"/>
      <c r="J74" s="65" t="s">
        <v>197</v>
      </c>
      <c r="K74" s="65"/>
      <c r="L74" s="65"/>
      <c r="M74" s="58" t="s">
        <v>201</v>
      </c>
      <c r="N74" s="58"/>
      <c r="O74" s="58"/>
      <c r="P74" s="53" t="s">
        <v>36</v>
      </c>
      <c r="Q74" s="53"/>
      <c r="R74" s="53"/>
      <c r="S74" s="76" t="s">
        <v>202</v>
      </c>
      <c r="T74" s="76"/>
      <c r="U74" s="76"/>
    </row>
    <row r="75" spans="1:21" x14ac:dyDescent="0.25">
      <c r="A75" s="79" t="s">
        <v>13</v>
      </c>
      <c r="B75" s="79"/>
      <c r="C75" s="79"/>
      <c r="D75" s="64" t="s">
        <v>7</v>
      </c>
      <c r="E75" s="64"/>
      <c r="F75" s="64"/>
      <c r="G75" s="66" t="s">
        <v>203</v>
      </c>
      <c r="H75" s="67"/>
      <c r="I75" s="67"/>
      <c r="J75" s="63" t="s">
        <v>203</v>
      </c>
      <c r="K75" s="64"/>
      <c r="L75" s="64"/>
      <c r="M75" s="68" t="s">
        <v>203</v>
      </c>
      <c r="N75" s="69"/>
      <c r="O75" s="69"/>
      <c r="P75" s="63" t="s">
        <v>203</v>
      </c>
      <c r="Q75" s="64"/>
      <c r="R75" s="64"/>
      <c r="S75" s="63" t="s">
        <v>203</v>
      </c>
      <c r="T75" s="64"/>
      <c r="U75" s="64"/>
    </row>
    <row r="76" spans="1:21" x14ac:dyDescent="0.25">
      <c r="A76" s="78" t="s">
        <v>102</v>
      </c>
      <c r="B76" s="78"/>
      <c r="C76" s="78"/>
      <c r="D76" s="78" t="s">
        <v>96</v>
      </c>
      <c r="E76" s="78"/>
      <c r="F76" s="78"/>
      <c r="G76" s="57" t="s">
        <v>36</v>
      </c>
      <c r="H76" s="57"/>
      <c r="I76" s="57"/>
      <c r="J76" s="65" t="s">
        <v>197</v>
      </c>
      <c r="K76" s="65"/>
      <c r="L76" s="65"/>
      <c r="M76" s="58" t="s">
        <v>201</v>
      </c>
      <c r="N76" s="58"/>
      <c r="O76" s="58"/>
      <c r="P76" s="61" t="s">
        <v>201</v>
      </c>
      <c r="Q76" s="61"/>
      <c r="R76" s="61"/>
      <c r="S76" s="76" t="s">
        <v>202</v>
      </c>
      <c r="T76" s="76"/>
      <c r="U76" s="76"/>
    </row>
    <row r="77" spans="1:21" x14ac:dyDescent="0.25">
      <c r="A77" s="78">
        <v>203052001000</v>
      </c>
      <c r="B77" s="78"/>
      <c r="C77" s="78"/>
      <c r="D77" s="78" t="s">
        <v>97</v>
      </c>
      <c r="E77" s="78"/>
      <c r="F77" s="78"/>
      <c r="G77" s="57" t="s">
        <v>36</v>
      </c>
      <c r="H77" s="57"/>
      <c r="I77" s="57"/>
      <c r="J77" s="86" t="s">
        <v>199</v>
      </c>
      <c r="K77" s="86"/>
      <c r="L77" s="86"/>
      <c r="M77" s="58" t="s">
        <v>36</v>
      </c>
      <c r="N77" s="58"/>
      <c r="O77" s="58"/>
      <c r="P77" s="53" t="s">
        <v>36</v>
      </c>
      <c r="Q77" s="53"/>
      <c r="R77" s="53"/>
      <c r="S77" s="53" t="s">
        <v>36</v>
      </c>
      <c r="T77" s="53"/>
      <c r="U77" s="53"/>
    </row>
    <row r="78" spans="1:21" x14ac:dyDescent="0.25">
      <c r="A78" s="78" t="s">
        <v>103</v>
      </c>
      <c r="B78" s="78"/>
      <c r="C78" s="78"/>
      <c r="D78" s="78" t="s">
        <v>49</v>
      </c>
      <c r="E78" s="78"/>
      <c r="F78" s="78"/>
      <c r="G78" s="57" t="s">
        <v>36</v>
      </c>
      <c r="H78" s="57"/>
      <c r="I78" s="57"/>
      <c r="J78" s="65" t="s">
        <v>197</v>
      </c>
      <c r="K78" s="65"/>
      <c r="L78" s="65"/>
      <c r="M78" s="58" t="s">
        <v>201</v>
      </c>
      <c r="N78" s="58"/>
      <c r="O78" s="58"/>
      <c r="P78" s="61" t="s">
        <v>201</v>
      </c>
      <c r="Q78" s="61"/>
      <c r="R78" s="61"/>
      <c r="S78" s="53" t="s">
        <v>36</v>
      </c>
      <c r="T78" s="53"/>
      <c r="U78" s="53"/>
    </row>
    <row r="79" spans="1:21" x14ac:dyDescent="0.25">
      <c r="A79" s="78" t="s">
        <v>104</v>
      </c>
      <c r="B79" s="78"/>
      <c r="C79" s="78"/>
      <c r="D79" s="78" t="s">
        <v>98</v>
      </c>
      <c r="E79" s="78"/>
      <c r="F79" s="78"/>
      <c r="G79" s="57" t="s">
        <v>36</v>
      </c>
      <c r="H79" s="57"/>
      <c r="I79" s="57"/>
      <c r="J79" s="65" t="s">
        <v>197</v>
      </c>
      <c r="K79" s="65"/>
      <c r="L79" s="65"/>
      <c r="M79" s="58" t="s">
        <v>36</v>
      </c>
      <c r="N79" s="58"/>
      <c r="O79" s="58"/>
      <c r="P79" s="61" t="s">
        <v>201</v>
      </c>
      <c r="Q79" s="61"/>
      <c r="R79" s="61"/>
      <c r="S79" s="76" t="s">
        <v>202</v>
      </c>
      <c r="T79" s="76"/>
      <c r="U79" s="76"/>
    </row>
    <row r="80" spans="1:21" x14ac:dyDescent="0.25">
      <c r="A80" s="78" t="s">
        <v>105</v>
      </c>
      <c r="B80" s="78"/>
      <c r="C80" s="78"/>
      <c r="D80" s="78" t="s">
        <v>99</v>
      </c>
      <c r="E80" s="78"/>
      <c r="F80" s="78"/>
      <c r="G80" s="57" t="s">
        <v>36</v>
      </c>
      <c r="H80" s="57"/>
      <c r="I80" s="57"/>
      <c r="J80" s="86" t="s">
        <v>199</v>
      </c>
      <c r="K80" s="86"/>
      <c r="L80" s="86"/>
      <c r="M80" s="58" t="s">
        <v>36</v>
      </c>
      <c r="N80" s="58"/>
      <c r="O80" s="58"/>
      <c r="P80" s="53" t="s">
        <v>36</v>
      </c>
      <c r="Q80" s="53"/>
      <c r="R80" s="53"/>
      <c r="S80" s="53" t="s">
        <v>36</v>
      </c>
      <c r="T80" s="53"/>
      <c r="U80" s="53"/>
    </row>
    <row r="81" spans="1:21" x14ac:dyDescent="0.25">
      <c r="A81" s="78">
        <v>260001001500</v>
      </c>
      <c r="B81" s="78"/>
      <c r="C81" s="78"/>
      <c r="D81" s="78" t="s">
        <v>100</v>
      </c>
      <c r="E81" s="78"/>
      <c r="F81" s="78"/>
      <c r="G81" s="57" t="s">
        <v>36</v>
      </c>
      <c r="H81" s="57"/>
      <c r="I81" s="57"/>
      <c r="J81" s="65" t="s">
        <v>197</v>
      </c>
      <c r="K81" s="65"/>
      <c r="L81" s="65"/>
      <c r="M81" s="58" t="s">
        <v>36</v>
      </c>
      <c r="N81" s="58"/>
      <c r="O81" s="58"/>
      <c r="P81" s="61" t="s">
        <v>201</v>
      </c>
      <c r="Q81" s="61"/>
      <c r="R81" s="61"/>
      <c r="S81" s="53" t="s">
        <v>36</v>
      </c>
      <c r="T81" s="53"/>
      <c r="U81" s="53"/>
    </row>
    <row r="82" spans="1:21" x14ac:dyDescent="0.25">
      <c r="A82" s="78" t="s">
        <v>106</v>
      </c>
      <c r="B82" s="78"/>
      <c r="C82" s="78"/>
      <c r="D82" s="78" t="s">
        <v>101</v>
      </c>
      <c r="E82" s="78"/>
      <c r="F82" s="78"/>
      <c r="G82" s="57" t="s">
        <v>36</v>
      </c>
      <c r="H82" s="57"/>
      <c r="I82" s="57"/>
      <c r="J82" s="86" t="s">
        <v>199</v>
      </c>
      <c r="K82" s="86"/>
      <c r="L82" s="86"/>
      <c r="M82" s="58" t="s">
        <v>36</v>
      </c>
      <c r="N82" s="58"/>
      <c r="O82" s="58"/>
      <c r="P82" s="53" t="s">
        <v>36</v>
      </c>
      <c r="Q82" s="53"/>
      <c r="R82" s="53"/>
      <c r="S82" s="53" t="s">
        <v>36</v>
      </c>
      <c r="T82" s="53"/>
      <c r="U82" s="53"/>
    </row>
    <row r="83" spans="1:21" x14ac:dyDescent="0.25">
      <c r="A83" s="79">
        <v>260001001500</v>
      </c>
      <c r="B83" s="79"/>
      <c r="C83" s="79"/>
      <c r="D83" s="79" t="s">
        <v>107</v>
      </c>
      <c r="E83" s="79"/>
      <c r="F83" s="79"/>
      <c r="G83" s="66" t="s">
        <v>203</v>
      </c>
      <c r="H83" s="67"/>
      <c r="I83" s="67"/>
      <c r="J83" s="63" t="s">
        <v>203</v>
      </c>
      <c r="K83" s="64"/>
      <c r="L83" s="64"/>
      <c r="M83" s="68" t="s">
        <v>203</v>
      </c>
      <c r="N83" s="69"/>
      <c r="O83" s="69"/>
      <c r="P83" s="63" t="s">
        <v>203</v>
      </c>
      <c r="Q83" s="64"/>
      <c r="R83" s="64"/>
      <c r="S83" s="63" t="s">
        <v>203</v>
      </c>
      <c r="T83" s="64"/>
      <c r="U83" s="64"/>
    </row>
    <row r="84" spans="1:21" x14ac:dyDescent="0.25">
      <c r="A84" s="77" t="s">
        <v>212</v>
      </c>
      <c r="B84" s="78"/>
      <c r="C84" s="78"/>
      <c r="D84" s="78" t="s">
        <v>109</v>
      </c>
      <c r="E84" s="78"/>
      <c r="F84" s="78"/>
      <c r="G84" s="57" t="s">
        <v>36</v>
      </c>
      <c r="H84" s="57"/>
      <c r="I84" s="57"/>
      <c r="J84" s="65" t="s">
        <v>197</v>
      </c>
      <c r="K84" s="65"/>
      <c r="L84" s="65"/>
      <c r="M84" s="58" t="s">
        <v>36</v>
      </c>
      <c r="N84" s="58"/>
      <c r="O84" s="58"/>
      <c r="P84" s="53" t="s">
        <v>36</v>
      </c>
      <c r="Q84" s="53"/>
      <c r="R84" s="53"/>
      <c r="S84" s="76" t="s">
        <v>202</v>
      </c>
      <c r="T84" s="76"/>
      <c r="U84" s="76"/>
    </row>
    <row r="85" spans="1:21" x14ac:dyDescent="0.25">
      <c r="A85" s="77" t="s">
        <v>213</v>
      </c>
      <c r="B85" s="78"/>
      <c r="C85" s="78"/>
      <c r="D85" s="78" t="s">
        <v>110</v>
      </c>
      <c r="E85" s="78"/>
      <c r="F85" s="78"/>
      <c r="G85" s="57" t="s">
        <v>36</v>
      </c>
      <c r="H85" s="57"/>
      <c r="I85" s="57"/>
      <c r="J85" s="65" t="s">
        <v>197</v>
      </c>
      <c r="K85" s="65"/>
      <c r="L85" s="65"/>
      <c r="M85" s="58" t="s">
        <v>36</v>
      </c>
      <c r="N85" s="58"/>
      <c r="O85" s="58"/>
      <c r="P85" s="61" t="s">
        <v>201</v>
      </c>
      <c r="Q85" s="61"/>
      <c r="R85" s="61"/>
      <c r="S85" s="53" t="s">
        <v>36</v>
      </c>
      <c r="T85" s="53"/>
      <c r="U85" s="53"/>
    </row>
    <row r="86" spans="1:21" x14ac:dyDescent="0.25">
      <c r="A86" s="77" t="s">
        <v>214</v>
      </c>
      <c r="B86" s="78"/>
      <c r="C86" s="78"/>
      <c r="D86" s="78" t="s">
        <v>111</v>
      </c>
      <c r="E86" s="78"/>
      <c r="F86" s="78"/>
      <c r="G86" s="57" t="s">
        <v>36</v>
      </c>
      <c r="H86" s="57"/>
      <c r="I86" s="57"/>
      <c r="J86" s="65" t="s">
        <v>197</v>
      </c>
      <c r="K86" s="65"/>
      <c r="L86" s="65"/>
      <c r="M86" s="58" t="s">
        <v>36</v>
      </c>
      <c r="N86" s="58"/>
      <c r="O86" s="58"/>
      <c r="P86" s="61" t="s">
        <v>201</v>
      </c>
      <c r="Q86" s="61"/>
      <c r="R86" s="61"/>
      <c r="S86" s="53" t="s">
        <v>36</v>
      </c>
      <c r="T86" s="53"/>
      <c r="U86" s="53"/>
    </row>
    <row r="87" spans="1:21" x14ac:dyDescent="0.25">
      <c r="A87" s="77" t="s">
        <v>215</v>
      </c>
      <c r="B87" s="78"/>
      <c r="C87" s="78"/>
      <c r="D87" s="78" t="s">
        <v>112</v>
      </c>
      <c r="E87" s="78"/>
      <c r="F87" s="78"/>
      <c r="G87" s="57" t="s">
        <v>36</v>
      </c>
      <c r="H87" s="57"/>
      <c r="I87" s="57"/>
      <c r="J87" s="65" t="s">
        <v>197</v>
      </c>
      <c r="K87" s="65"/>
      <c r="L87" s="65"/>
      <c r="M87" s="58" t="s">
        <v>36</v>
      </c>
      <c r="N87" s="58"/>
      <c r="O87" s="58"/>
      <c r="P87" s="61" t="s">
        <v>201</v>
      </c>
      <c r="Q87" s="61"/>
      <c r="R87" s="61"/>
      <c r="S87" s="53" t="s">
        <v>36</v>
      </c>
      <c r="T87" s="53"/>
      <c r="U87" s="53"/>
    </row>
    <row r="88" spans="1:21" x14ac:dyDescent="0.25">
      <c r="A88" s="77" t="s">
        <v>216</v>
      </c>
      <c r="B88" s="78"/>
      <c r="C88" s="78"/>
      <c r="D88" s="78" t="s">
        <v>113</v>
      </c>
      <c r="E88" s="78"/>
      <c r="F88" s="78"/>
      <c r="G88" s="57" t="s">
        <v>36</v>
      </c>
      <c r="H88" s="57"/>
      <c r="I88" s="57"/>
      <c r="J88" s="65" t="s">
        <v>197</v>
      </c>
      <c r="K88" s="65"/>
      <c r="L88" s="65"/>
      <c r="M88" s="58" t="s">
        <v>36</v>
      </c>
      <c r="N88" s="58"/>
      <c r="O88" s="58"/>
      <c r="P88" s="61" t="s">
        <v>201</v>
      </c>
      <c r="Q88" s="61"/>
      <c r="R88" s="61"/>
      <c r="S88" s="53" t="s">
        <v>36</v>
      </c>
      <c r="T88" s="53"/>
      <c r="U88" s="53"/>
    </row>
    <row r="89" spans="1:21" x14ac:dyDescent="0.25">
      <c r="A89" s="77" t="s">
        <v>217</v>
      </c>
      <c r="B89" s="78"/>
      <c r="C89" s="78"/>
      <c r="D89" s="78" t="s">
        <v>114</v>
      </c>
      <c r="E89" s="78"/>
      <c r="F89" s="78"/>
      <c r="G89" s="57" t="s">
        <v>36</v>
      </c>
      <c r="H89" s="57"/>
      <c r="I89" s="57"/>
      <c r="J89" s="65" t="s">
        <v>197</v>
      </c>
      <c r="K89" s="65"/>
      <c r="L89" s="65"/>
      <c r="M89" s="58" t="s">
        <v>36</v>
      </c>
      <c r="N89" s="58"/>
      <c r="O89" s="58"/>
      <c r="P89" s="61" t="s">
        <v>201</v>
      </c>
      <c r="Q89" s="61"/>
      <c r="R89" s="61"/>
      <c r="S89" s="53" t="s">
        <v>36</v>
      </c>
      <c r="T89" s="53"/>
      <c r="U89" s="53"/>
    </row>
    <row r="90" spans="1:21" x14ac:dyDescent="0.25">
      <c r="A90" s="77" t="s">
        <v>218</v>
      </c>
      <c r="B90" s="78"/>
      <c r="C90" s="78"/>
      <c r="D90" s="78" t="s">
        <v>115</v>
      </c>
      <c r="E90" s="78"/>
      <c r="F90" s="78"/>
      <c r="G90" s="57" t="s">
        <v>36</v>
      </c>
      <c r="H90" s="57"/>
      <c r="I90" s="57"/>
      <c r="J90" s="65" t="s">
        <v>197</v>
      </c>
      <c r="K90" s="65"/>
      <c r="L90" s="65"/>
      <c r="M90" s="58" t="s">
        <v>36</v>
      </c>
      <c r="N90" s="58"/>
      <c r="O90" s="58"/>
      <c r="P90" s="61" t="s">
        <v>201</v>
      </c>
      <c r="Q90" s="61"/>
      <c r="R90" s="61"/>
      <c r="S90" s="53" t="s">
        <v>36</v>
      </c>
      <c r="T90" s="53"/>
      <c r="U90" s="53"/>
    </row>
    <row r="91" spans="1:21" x14ac:dyDescent="0.25">
      <c r="A91" s="77" t="s">
        <v>219</v>
      </c>
      <c r="B91" s="78"/>
      <c r="C91" s="78"/>
      <c r="D91" s="78" t="s">
        <v>116</v>
      </c>
      <c r="E91" s="78"/>
      <c r="F91" s="78"/>
      <c r="G91" s="57" t="s">
        <v>36</v>
      </c>
      <c r="H91" s="57"/>
      <c r="I91" s="57"/>
      <c r="J91" s="65" t="s">
        <v>197</v>
      </c>
      <c r="K91" s="65"/>
      <c r="L91" s="65"/>
      <c r="M91" s="58" t="s">
        <v>36</v>
      </c>
      <c r="N91" s="58"/>
      <c r="O91" s="58"/>
      <c r="P91" s="61" t="s">
        <v>201</v>
      </c>
      <c r="Q91" s="61"/>
      <c r="R91" s="61"/>
      <c r="S91" s="53" t="s">
        <v>36</v>
      </c>
      <c r="T91" s="53"/>
      <c r="U91" s="53"/>
    </row>
    <row r="92" spans="1:21" x14ac:dyDescent="0.25">
      <c r="A92" s="77" t="s">
        <v>220</v>
      </c>
      <c r="B92" s="78"/>
      <c r="C92" s="78"/>
      <c r="D92" s="78" t="s">
        <v>117</v>
      </c>
      <c r="E92" s="78"/>
      <c r="F92" s="78"/>
      <c r="G92" s="57" t="s">
        <v>36</v>
      </c>
      <c r="H92" s="57"/>
      <c r="I92" s="57"/>
      <c r="J92" s="65" t="s">
        <v>197</v>
      </c>
      <c r="K92" s="65"/>
      <c r="L92" s="65"/>
      <c r="M92" s="58" t="s">
        <v>36</v>
      </c>
      <c r="N92" s="58"/>
      <c r="O92" s="58"/>
      <c r="P92" s="61" t="s">
        <v>201</v>
      </c>
      <c r="Q92" s="61"/>
      <c r="R92" s="61"/>
      <c r="S92" s="53" t="s">
        <v>36</v>
      </c>
      <c r="T92" s="53"/>
      <c r="U92" s="53"/>
    </row>
    <row r="93" spans="1:21" x14ac:dyDescent="0.25">
      <c r="A93" s="77" t="s">
        <v>221</v>
      </c>
      <c r="B93" s="78"/>
      <c r="C93" s="78"/>
      <c r="D93" s="78" t="s">
        <v>118</v>
      </c>
      <c r="E93" s="78"/>
      <c r="F93" s="78"/>
      <c r="G93" s="57" t="s">
        <v>36</v>
      </c>
      <c r="H93" s="57"/>
      <c r="I93" s="57"/>
      <c r="J93" s="65" t="s">
        <v>197</v>
      </c>
      <c r="K93" s="65"/>
      <c r="L93" s="65"/>
      <c r="M93" s="58" t="s">
        <v>36</v>
      </c>
      <c r="N93" s="58"/>
      <c r="O93" s="58"/>
      <c r="P93" s="61" t="s">
        <v>201</v>
      </c>
      <c r="Q93" s="61"/>
      <c r="R93" s="61"/>
      <c r="S93" s="53" t="s">
        <v>36</v>
      </c>
      <c r="T93" s="53"/>
      <c r="U93" s="53"/>
    </row>
    <row r="94" spans="1:21" x14ac:dyDescent="0.25">
      <c r="A94" s="77" t="s">
        <v>222</v>
      </c>
      <c r="B94" s="78"/>
      <c r="C94" s="78"/>
      <c r="D94" s="78" t="s">
        <v>119</v>
      </c>
      <c r="E94" s="78"/>
      <c r="F94" s="78"/>
      <c r="G94" s="57" t="s">
        <v>36</v>
      </c>
      <c r="H94" s="57"/>
      <c r="I94" s="57"/>
      <c r="J94" s="65" t="s">
        <v>197</v>
      </c>
      <c r="K94" s="65"/>
      <c r="L94" s="65"/>
      <c r="M94" s="58" t="s">
        <v>201</v>
      </c>
      <c r="N94" s="58"/>
      <c r="O94" s="58"/>
      <c r="P94" s="61" t="s">
        <v>201</v>
      </c>
      <c r="Q94" s="61"/>
      <c r="R94" s="61"/>
      <c r="S94" s="53" t="s">
        <v>36</v>
      </c>
      <c r="T94" s="53"/>
      <c r="U94" s="53"/>
    </row>
    <row r="95" spans="1:21" x14ac:dyDescent="0.25">
      <c r="A95" s="77" t="s">
        <v>223</v>
      </c>
      <c r="B95" s="78"/>
      <c r="C95" s="78"/>
      <c r="D95" s="78" t="s">
        <v>120</v>
      </c>
      <c r="E95" s="78"/>
      <c r="F95" s="78"/>
      <c r="G95" s="57" t="s">
        <v>36</v>
      </c>
      <c r="H95" s="57"/>
      <c r="I95" s="57"/>
      <c r="J95" s="65" t="s">
        <v>197</v>
      </c>
      <c r="K95" s="65"/>
      <c r="L95" s="65"/>
      <c r="M95" s="58" t="s">
        <v>201</v>
      </c>
      <c r="N95" s="58"/>
      <c r="O95" s="58"/>
      <c r="P95" s="53" t="s">
        <v>36</v>
      </c>
      <c r="Q95" s="53"/>
      <c r="R95" s="53"/>
      <c r="S95" s="76" t="s">
        <v>202</v>
      </c>
      <c r="T95" s="76"/>
      <c r="U95" s="76"/>
    </row>
    <row r="96" spans="1:21" x14ac:dyDescent="0.25">
      <c r="A96" s="77" t="s">
        <v>224</v>
      </c>
      <c r="B96" s="78"/>
      <c r="C96" s="78"/>
      <c r="D96" s="78" t="s">
        <v>121</v>
      </c>
      <c r="E96" s="78"/>
      <c r="F96" s="78"/>
      <c r="G96" s="57" t="s">
        <v>36</v>
      </c>
      <c r="H96" s="57"/>
      <c r="I96" s="57"/>
      <c r="J96" s="65" t="s">
        <v>197</v>
      </c>
      <c r="K96" s="65"/>
      <c r="L96" s="65"/>
      <c r="M96" s="58" t="s">
        <v>201</v>
      </c>
      <c r="N96" s="58"/>
      <c r="O96" s="58"/>
      <c r="P96" s="61" t="s">
        <v>201</v>
      </c>
      <c r="Q96" s="61"/>
      <c r="R96" s="61"/>
      <c r="S96" s="53" t="s">
        <v>36</v>
      </c>
      <c r="T96" s="53"/>
      <c r="U96" s="53"/>
    </row>
    <row r="97" spans="1:21" x14ac:dyDescent="0.25">
      <c r="A97" s="77" t="s">
        <v>225</v>
      </c>
      <c r="B97" s="78"/>
      <c r="C97" s="78"/>
      <c r="D97" s="78" t="s">
        <v>122</v>
      </c>
      <c r="E97" s="78"/>
      <c r="F97" s="78"/>
      <c r="G97" s="57" t="s">
        <v>36</v>
      </c>
      <c r="H97" s="57"/>
      <c r="I97" s="57"/>
      <c r="J97" s="65" t="s">
        <v>197</v>
      </c>
      <c r="K97" s="65"/>
      <c r="L97" s="65"/>
      <c r="M97" s="58" t="s">
        <v>201</v>
      </c>
      <c r="N97" s="58"/>
      <c r="O97" s="58"/>
      <c r="P97" s="61" t="s">
        <v>201</v>
      </c>
      <c r="Q97" s="61"/>
      <c r="R97" s="61"/>
      <c r="S97" s="53" t="s">
        <v>36</v>
      </c>
      <c r="T97" s="53"/>
      <c r="U97" s="53"/>
    </row>
    <row r="98" spans="1:21" x14ac:dyDescent="0.25">
      <c r="A98" s="78">
        <v>203004005000</v>
      </c>
      <c r="B98" s="78"/>
      <c r="C98" s="78"/>
      <c r="D98" s="78" t="s">
        <v>123</v>
      </c>
      <c r="E98" s="78"/>
      <c r="F98" s="78"/>
      <c r="G98" s="57" t="s">
        <v>36</v>
      </c>
      <c r="H98" s="57"/>
      <c r="I98" s="57"/>
      <c r="J98" s="65" t="s">
        <v>197</v>
      </c>
      <c r="K98" s="65"/>
      <c r="L98" s="65"/>
      <c r="M98" s="58" t="s">
        <v>36</v>
      </c>
      <c r="N98" s="58"/>
      <c r="O98" s="58"/>
      <c r="P98" s="53" t="s">
        <v>36</v>
      </c>
      <c r="Q98" s="53"/>
      <c r="R98" s="53"/>
      <c r="S98" s="76" t="s">
        <v>202</v>
      </c>
      <c r="T98" s="76"/>
      <c r="U98" s="76"/>
    </row>
    <row r="99" spans="1:21" x14ac:dyDescent="0.25">
      <c r="A99" s="78">
        <v>203006002300</v>
      </c>
      <c r="B99" s="78"/>
      <c r="C99" s="78"/>
      <c r="D99" s="78" t="s">
        <v>124</v>
      </c>
      <c r="E99" s="78"/>
      <c r="F99" s="78"/>
      <c r="G99" s="57" t="s">
        <v>36</v>
      </c>
      <c r="H99" s="57"/>
      <c r="I99" s="57"/>
      <c r="J99" s="65" t="s">
        <v>197</v>
      </c>
      <c r="K99" s="65"/>
      <c r="L99" s="65"/>
      <c r="M99" s="58" t="s">
        <v>201</v>
      </c>
      <c r="N99" s="58"/>
      <c r="O99" s="58"/>
      <c r="P99" s="53" t="s">
        <v>36</v>
      </c>
      <c r="Q99" s="53"/>
      <c r="R99" s="53"/>
      <c r="S99" s="76" t="s">
        <v>202</v>
      </c>
      <c r="T99" s="76"/>
      <c r="U99" s="76"/>
    </row>
    <row r="100" spans="1:21" x14ac:dyDescent="0.25">
      <c r="A100" s="78">
        <v>203006002400</v>
      </c>
      <c r="B100" s="78"/>
      <c r="C100" s="78"/>
      <c r="D100" s="78" t="s">
        <v>125</v>
      </c>
      <c r="E100" s="78"/>
      <c r="F100" s="78"/>
      <c r="G100" s="57" t="s">
        <v>36</v>
      </c>
      <c r="H100" s="57"/>
      <c r="I100" s="57"/>
      <c r="J100" s="65" t="s">
        <v>197</v>
      </c>
      <c r="K100" s="65"/>
      <c r="L100" s="65"/>
      <c r="M100" s="58" t="s">
        <v>201</v>
      </c>
      <c r="N100" s="58"/>
      <c r="O100" s="58"/>
      <c r="P100" s="53" t="s">
        <v>36</v>
      </c>
      <c r="Q100" s="53"/>
      <c r="R100" s="53"/>
      <c r="S100" s="76" t="s">
        <v>202</v>
      </c>
      <c r="T100" s="76"/>
      <c r="U100" s="76"/>
    </row>
    <row r="101" spans="1:21" x14ac:dyDescent="0.25">
      <c r="A101" s="78">
        <v>203009002700</v>
      </c>
      <c r="B101" s="78"/>
      <c r="C101" s="78"/>
      <c r="D101" s="78" t="s">
        <v>126</v>
      </c>
      <c r="E101" s="78"/>
      <c r="F101" s="78"/>
      <c r="G101" s="57" t="s">
        <v>36</v>
      </c>
      <c r="H101" s="57"/>
      <c r="I101" s="57"/>
      <c r="J101" s="65" t="s">
        <v>197</v>
      </c>
      <c r="K101" s="65"/>
      <c r="L101" s="65"/>
      <c r="M101" s="58" t="s">
        <v>201</v>
      </c>
      <c r="N101" s="58"/>
      <c r="O101" s="58"/>
      <c r="P101" s="61" t="s">
        <v>201</v>
      </c>
      <c r="Q101" s="61"/>
      <c r="R101" s="61"/>
      <c r="S101" s="53" t="s">
        <v>36</v>
      </c>
      <c r="T101" s="53"/>
      <c r="U101" s="53"/>
    </row>
    <row r="102" spans="1:21" x14ac:dyDescent="0.25">
      <c r="A102" s="78">
        <v>203009002800</v>
      </c>
      <c r="B102" s="78"/>
      <c r="C102" s="78"/>
      <c r="D102" s="78" t="s">
        <v>126</v>
      </c>
      <c r="E102" s="78"/>
      <c r="F102" s="78"/>
      <c r="G102" s="57" t="s">
        <v>36</v>
      </c>
      <c r="H102" s="57"/>
      <c r="I102" s="57"/>
      <c r="J102" s="65" t="s">
        <v>197</v>
      </c>
      <c r="K102" s="65"/>
      <c r="L102" s="65"/>
      <c r="M102" s="58" t="s">
        <v>201</v>
      </c>
      <c r="N102" s="58"/>
      <c r="O102" s="58"/>
      <c r="P102" s="61" t="s">
        <v>201</v>
      </c>
      <c r="Q102" s="61"/>
      <c r="R102" s="61"/>
      <c r="S102" s="53" t="s">
        <v>36</v>
      </c>
      <c r="T102" s="53"/>
      <c r="U102" s="53"/>
    </row>
    <row r="103" spans="1:21" x14ac:dyDescent="0.25">
      <c r="A103" s="78">
        <v>203014025500</v>
      </c>
      <c r="B103" s="78"/>
      <c r="C103" s="78"/>
      <c r="D103" s="78" t="s">
        <v>127</v>
      </c>
      <c r="E103" s="78"/>
      <c r="F103" s="78"/>
      <c r="G103" s="57" t="s">
        <v>36</v>
      </c>
      <c r="H103" s="57"/>
      <c r="I103" s="57"/>
      <c r="J103" s="86" t="s">
        <v>199</v>
      </c>
      <c r="K103" s="86"/>
      <c r="L103" s="86"/>
      <c r="M103" s="58" t="s">
        <v>201</v>
      </c>
      <c r="N103" s="58"/>
      <c r="O103" s="58"/>
      <c r="P103" s="53" t="s">
        <v>36</v>
      </c>
      <c r="Q103" s="53"/>
      <c r="R103" s="53"/>
      <c r="S103" s="53" t="s">
        <v>36</v>
      </c>
      <c r="T103" s="53"/>
      <c r="U103" s="53"/>
    </row>
    <row r="104" spans="1:21" x14ac:dyDescent="0.25">
      <c r="A104" s="78">
        <v>203014030000</v>
      </c>
      <c r="B104" s="78"/>
      <c r="C104" s="78"/>
      <c r="D104" s="78" t="s">
        <v>128</v>
      </c>
      <c r="E104" s="78"/>
      <c r="F104" s="78"/>
      <c r="G104" s="57" t="s">
        <v>36</v>
      </c>
      <c r="H104" s="57"/>
      <c r="I104" s="57"/>
      <c r="J104" s="86" t="s">
        <v>199</v>
      </c>
      <c r="K104" s="86"/>
      <c r="L104" s="86"/>
      <c r="M104" s="58" t="s">
        <v>36</v>
      </c>
      <c r="N104" s="58"/>
      <c r="O104" s="58"/>
      <c r="P104" s="53" t="s">
        <v>36</v>
      </c>
      <c r="Q104" s="53"/>
      <c r="R104" s="53"/>
      <c r="S104" s="53" t="s">
        <v>36</v>
      </c>
      <c r="T104" s="53"/>
      <c r="U104" s="53"/>
    </row>
    <row r="105" spans="1:21" x14ac:dyDescent="0.25">
      <c r="A105" s="78">
        <v>203046020900</v>
      </c>
      <c r="B105" s="78"/>
      <c r="C105" s="78"/>
      <c r="D105" s="78" t="s">
        <v>129</v>
      </c>
      <c r="E105" s="78"/>
      <c r="F105" s="78"/>
      <c r="G105" s="57" t="s">
        <v>36</v>
      </c>
      <c r="H105" s="57"/>
      <c r="I105" s="57"/>
      <c r="J105" s="65" t="s">
        <v>197</v>
      </c>
      <c r="K105" s="65"/>
      <c r="L105" s="65"/>
      <c r="M105" s="58" t="s">
        <v>201</v>
      </c>
      <c r="N105" s="58"/>
      <c r="O105" s="58"/>
      <c r="P105" s="61" t="s">
        <v>201</v>
      </c>
      <c r="Q105" s="61"/>
      <c r="R105" s="61"/>
      <c r="S105" s="76" t="s">
        <v>202</v>
      </c>
      <c r="T105" s="76"/>
      <c r="U105" s="76"/>
    </row>
    <row r="106" spans="1:21" x14ac:dyDescent="0.25">
      <c r="A106" s="78">
        <v>203046021000</v>
      </c>
      <c r="B106" s="78"/>
      <c r="C106" s="78"/>
      <c r="D106" s="78" t="s">
        <v>130</v>
      </c>
      <c r="E106" s="78"/>
      <c r="F106" s="78"/>
      <c r="G106" s="57" t="s">
        <v>36</v>
      </c>
      <c r="H106" s="57"/>
      <c r="I106" s="57"/>
      <c r="J106" s="65" t="s">
        <v>197</v>
      </c>
      <c r="K106" s="65"/>
      <c r="L106" s="65"/>
      <c r="M106" s="58" t="s">
        <v>36</v>
      </c>
      <c r="N106" s="58"/>
      <c r="O106" s="58"/>
      <c r="P106" s="61" t="s">
        <v>201</v>
      </c>
      <c r="Q106" s="61"/>
      <c r="R106" s="61"/>
      <c r="S106" s="76" t="s">
        <v>202</v>
      </c>
      <c r="T106" s="76"/>
      <c r="U106" s="76"/>
    </row>
    <row r="107" spans="1:21" x14ac:dyDescent="0.25">
      <c r="A107" s="78">
        <v>203059000200</v>
      </c>
      <c r="B107" s="78"/>
      <c r="C107" s="78"/>
      <c r="D107" s="78" t="s">
        <v>131</v>
      </c>
      <c r="E107" s="78"/>
      <c r="F107" s="78"/>
      <c r="G107" s="57" t="s">
        <v>36</v>
      </c>
      <c r="H107" s="57"/>
      <c r="I107" s="57"/>
      <c r="J107" s="65" t="s">
        <v>197</v>
      </c>
      <c r="K107" s="65"/>
      <c r="L107" s="65"/>
      <c r="M107" s="58" t="s">
        <v>201</v>
      </c>
      <c r="N107" s="58"/>
      <c r="O107" s="58"/>
      <c r="P107" s="61" t="s">
        <v>201</v>
      </c>
      <c r="Q107" s="61"/>
      <c r="R107" s="61"/>
      <c r="S107" s="76" t="s">
        <v>202</v>
      </c>
      <c r="T107" s="76"/>
      <c r="U107" s="76"/>
    </row>
    <row r="108" spans="1:21" x14ac:dyDescent="0.25">
      <c r="A108" s="78">
        <v>203061002100</v>
      </c>
      <c r="B108" s="78"/>
      <c r="C108" s="78"/>
      <c r="D108" s="78" t="s">
        <v>132</v>
      </c>
      <c r="E108" s="78"/>
      <c r="F108" s="78"/>
      <c r="G108" s="57" t="s">
        <v>36</v>
      </c>
      <c r="H108" s="57"/>
      <c r="I108" s="57"/>
      <c r="J108" s="65" t="s">
        <v>197</v>
      </c>
      <c r="K108" s="65"/>
      <c r="L108" s="65"/>
      <c r="M108" s="58" t="s">
        <v>36</v>
      </c>
      <c r="N108" s="58"/>
      <c r="O108" s="58"/>
      <c r="P108" s="61" t="s">
        <v>201</v>
      </c>
      <c r="Q108" s="61"/>
      <c r="R108" s="61"/>
      <c r="S108" s="76" t="s">
        <v>202</v>
      </c>
      <c r="T108" s="76"/>
      <c r="U108" s="76"/>
    </row>
    <row r="109" spans="1:21" x14ac:dyDescent="0.25">
      <c r="A109" s="78">
        <v>203063010000</v>
      </c>
      <c r="B109" s="78"/>
      <c r="C109" s="78"/>
      <c r="D109" s="78" t="s">
        <v>133</v>
      </c>
      <c r="E109" s="78"/>
      <c r="F109" s="78"/>
      <c r="G109" s="57" t="s">
        <v>36</v>
      </c>
      <c r="H109" s="57"/>
      <c r="I109" s="57"/>
      <c r="J109" s="65" t="s">
        <v>197</v>
      </c>
      <c r="K109" s="65"/>
      <c r="L109" s="65"/>
      <c r="M109" s="58" t="s">
        <v>36</v>
      </c>
      <c r="N109" s="58"/>
      <c r="O109" s="58"/>
      <c r="P109" s="53" t="s">
        <v>36</v>
      </c>
      <c r="Q109" s="53"/>
      <c r="R109" s="53"/>
      <c r="S109" s="76" t="s">
        <v>202</v>
      </c>
      <c r="T109" s="76"/>
      <c r="U109" s="76"/>
    </row>
    <row r="110" spans="1:21" x14ac:dyDescent="0.25">
      <c r="A110" s="78">
        <v>203065039400</v>
      </c>
      <c r="B110" s="78"/>
      <c r="C110" s="78"/>
      <c r="D110" s="78" t="s">
        <v>108</v>
      </c>
      <c r="E110" s="78"/>
      <c r="F110" s="78"/>
      <c r="G110" s="57" t="s">
        <v>36</v>
      </c>
      <c r="H110" s="57"/>
      <c r="I110" s="57"/>
      <c r="J110" s="65" t="s">
        <v>197</v>
      </c>
      <c r="K110" s="65"/>
      <c r="L110" s="65"/>
      <c r="M110" s="58" t="s">
        <v>201</v>
      </c>
      <c r="N110" s="58"/>
      <c r="O110" s="58"/>
      <c r="P110" s="53" t="s">
        <v>36</v>
      </c>
      <c r="Q110" s="53"/>
      <c r="R110" s="53"/>
      <c r="S110" s="76" t="s">
        <v>202</v>
      </c>
      <c r="T110" s="76"/>
      <c r="U110" s="76"/>
    </row>
    <row r="111" spans="1:21" x14ac:dyDescent="0.25">
      <c r="A111" s="78">
        <v>203065039500</v>
      </c>
      <c r="B111" s="78"/>
      <c r="C111" s="78"/>
      <c r="D111" s="78" t="s">
        <v>108</v>
      </c>
      <c r="E111" s="78"/>
      <c r="F111" s="78"/>
      <c r="G111" s="57" t="s">
        <v>36</v>
      </c>
      <c r="H111" s="57"/>
      <c r="I111" s="57"/>
      <c r="J111" s="65" t="s">
        <v>197</v>
      </c>
      <c r="K111" s="65"/>
      <c r="L111" s="65"/>
      <c r="M111" s="58" t="s">
        <v>201</v>
      </c>
      <c r="N111" s="58"/>
      <c r="O111" s="58"/>
      <c r="P111" s="53" t="s">
        <v>36</v>
      </c>
      <c r="Q111" s="53"/>
      <c r="R111" s="53"/>
      <c r="S111" s="76" t="s">
        <v>202</v>
      </c>
      <c r="T111" s="76"/>
      <c r="U111" s="76"/>
    </row>
    <row r="112" spans="1:21" x14ac:dyDescent="0.25">
      <c r="A112" s="79" t="s">
        <v>14</v>
      </c>
      <c r="B112" s="79"/>
      <c r="C112" s="79"/>
      <c r="D112" s="79" t="s">
        <v>134</v>
      </c>
      <c r="E112" s="79"/>
      <c r="F112" s="79"/>
      <c r="G112" s="66" t="s">
        <v>203</v>
      </c>
      <c r="H112" s="67"/>
      <c r="I112" s="67"/>
      <c r="J112" s="63" t="s">
        <v>203</v>
      </c>
      <c r="K112" s="64"/>
      <c r="L112" s="64"/>
      <c r="M112" s="68" t="s">
        <v>203</v>
      </c>
      <c r="N112" s="69"/>
      <c r="O112" s="69"/>
      <c r="P112" s="63" t="s">
        <v>203</v>
      </c>
      <c r="Q112" s="64"/>
      <c r="R112" s="64"/>
      <c r="S112" s="63" t="s">
        <v>203</v>
      </c>
      <c r="T112" s="64"/>
      <c r="U112" s="64"/>
    </row>
    <row r="113" spans="1:21" x14ac:dyDescent="0.25">
      <c r="A113" s="78">
        <v>260024000100</v>
      </c>
      <c r="B113" s="78"/>
      <c r="C113" s="78"/>
      <c r="D113" s="78" t="s">
        <v>140</v>
      </c>
      <c r="E113" s="78"/>
      <c r="F113" s="78"/>
      <c r="G113" s="57" t="s">
        <v>36</v>
      </c>
      <c r="H113" s="57"/>
      <c r="I113" s="57"/>
      <c r="J113" s="65" t="s">
        <v>197</v>
      </c>
      <c r="K113" s="65"/>
      <c r="L113" s="65"/>
      <c r="M113" s="58" t="s">
        <v>201</v>
      </c>
      <c r="N113" s="58"/>
      <c r="O113" s="58"/>
      <c r="P113" s="53" t="s">
        <v>36</v>
      </c>
      <c r="Q113" s="53"/>
      <c r="R113" s="53"/>
      <c r="S113" s="76" t="s">
        <v>202</v>
      </c>
      <c r="T113" s="53"/>
      <c r="U113" s="53"/>
    </row>
    <row r="114" spans="1:21" x14ac:dyDescent="0.25">
      <c r="A114" s="78" t="s">
        <v>136</v>
      </c>
      <c r="B114" s="78"/>
      <c r="C114" s="78"/>
      <c r="D114" s="78" t="s">
        <v>141</v>
      </c>
      <c r="E114" s="78"/>
      <c r="F114" s="78"/>
      <c r="G114" s="57" t="s">
        <v>36</v>
      </c>
      <c r="H114" s="57"/>
      <c r="I114" s="57"/>
      <c r="J114" s="65" t="s">
        <v>197</v>
      </c>
      <c r="K114" s="65"/>
      <c r="L114" s="65"/>
      <c r="M114" s="58" t="s">
        <v>36</v>
      </c>
      <c r="N114" s="58"/>
      <c r="O114" s="58"/>
      <c r="P114" s="53" t="s">
        <v>36</v>
      </c>
      <c r="Q114" s="53"/>
      <c r="R114" s="53"/>
      <c r="S114" s="76" t="s">
        <v>202</v>
      </c>
      <c r="T114" s="53"/>
      <c r="U114" s="53"/>
    </row>
    <row r="115" spans="1:21" x14ac:dyDescent="0.25">
      <c r="A115" s="77" t="s">
        <v>227</v>
      </c>
      <c r="B115" s="78"/>
      <c r="C115" s="78"/>
      <c r="D115" s="78" t="s">
        <v>142</v>
      </c>
      <c r="E115" s="78"/>
      <c r="F115" s="78"/>
      <c r="G115" s="57" t="s">
        <v>36</v>
      </c>
      <c r="H115" s="57"/>
      <c r="I115" s="57"/>
      <c r="J115" s="65" t="s">
        <v>197</v>
      </c>
      <c r="K115" s="65"/>
      <c r="L115" s="65"/>
      <c r="M115" s="58" t="s">
        <v>201</v>
      </c>
      <c r="N115" s="58"/>
      <c r="O115" s="58"/>
      <c r="P115" s="53" t="s">
        <v>36</v>
      </c>
      <c r="Q115" s="53"/>
      <c r="R115" s="53"/>
      <c r="S115" s="76" t="s">
        <v>202</v>
      </c>
      <c r="T115" s="53"/>
      <c r="U115" s="53"/>
    </row>
    <row r="116" spans="1:21" x14ac:dyDescent="0.25">
      <c r="A116" s="77" t="s">
        <v>226</v>
      </c>
      <c r="B116" s="78"/>
      <c r="C116" s="78"/>
      <c r="D116" s="78" t="s">
        <v>143</v>
      </c>
      <c r="E116" s="78"/>
      <c r="F116" s="78"/>
      <c r="G116" s="57" t="s">
        <v>36</v>
      </c>
      <c r="H116" s="57"/>
      <c r="I116" s="57"/>
      <c r="J116" s="65" t="s">
        <v>197</v>
      </c>
      <c r="K116" s="65"/>
      <c r="L116" s="65"/>
      <c r="M116" s="58" t="s">
        <v>201</v>
      </c>
      <c r="N116" s="58"/>
      <c r="O116" s="58"/>
      <c r="P116" s="61" t="s">
        <v>201</v>
      </c>
      <c r="Q116" s="61"/>
      <c r="R116" s="61"/>
      <c r="S116" s="76" t="s">
        <v>202</v>
      </c>
      <c r="T116" s="53"/>
      <c r="U116" s="53"/>
    </row>
    <row r="117" spans="1:21" x14ac:dyDescent="0.25">
      <c r="A117" s="78" t="s">
        <v>103</v>
      </c>
      <c r="B117" s="78"/>
      <c r="C117" s="78"/>
      <c r="D117" s="78" t="s">
        <v>49</v>
      </c>
      <c r="E117" s="78"/>
      <c r="F117" s="78"/>
      <c r="G117" s="57" t="s">
        <v>36</v>
      </c>
      <c r="H117" s="57"/>
      <c r="I117" s="57"/>
      <c r="J117" s="65" t="s">
        <v>197</v>
      </c>
      <c r="K117" s="65"/>
      <c r="L117" s="65"/>
      <c r="M117" s="58" t="s">
        <v>201</v>
      </c>
      <c r="N117" s="58"/>
      <c r="O117" s="58"/>
      <c r="P117" s="53" t="s">
        <v>36</v>
      </c>
      <c r="Q117" s="53"/>
      <c r="R117" s="53"/>
      <c r="S117" s="76" t="s">
        <v>202</v>
      </c>
      <c r="T117" s="53"/>
      <c r="U117" s="53"/>
    </row>
    <row r="118" spans="1:21" x14ac:dyDescent="0.25">
      <c r="A118" s="78" t="s">
        <v>137</v>
      </c>
      <c r="B118" s="78"/>
      <c r="C118" s="78"/>
      <c r="D118" s="78" t="s">
        <v>144</v>
      </c>
      <c r="E118" s="78"/>
      <c r="F118" s="78"/>
      <c r="G118" s="57" t="s">
        <v>36</v>
      </c>
      <c r="H118" s="57"/>
      <c r="I118" s="57"/>
      <c r="J118" s="65" t="s">
        <v>197</v>
      </c>
      <c r="K118" s="65"/>
      <c r="L118" s="65"/>
      <c r="M118" s="58" t="s">
        <v>36</v>
      </c>
      <c r="N118" s="58"/>
      <c r="O118" s="58"/>
      <c r="P118" s="53" t="s">
        <v>36</v>
      </c>
      <c r="Q118" s="53"/>
      <c r="R118" s="53"/>
      <c r="S118" s="76" t="s">
        <v>202</v>
      </c>
      <c r="T118" s="53"/>
      <c r="U118" s="53"/>
    </row>
    <row r="119" spans="1:21" x14ac:dyDescent="0.25">
      <c r="A119" s="78" t="s">
        <v>138</v>
      </c>
      <c r="B119" s="78"/>
      <c r="C119" s="78"/>
      <c r="D119" s="78" t="s">
        <v>145</v>
      </c>
      <c r="E119" s="78"/>
      <c r="F119" s="78"/>
      <c r="G119" s="57" t="s">
        <v>36</v>
      </c>
      <c r="H119" s="57"/>
      <c r="I119" s="57"/>
      <c r="J119" s="65" t="s">
        <v>197</v>
      </c>
      <c r="K119" s="65"/>
      <c r="L119" s="65"/>
      <c r="M119" s="58" t="s">
        <v>36</v>
      </c>
      <c r="N119" s="58"/>
      <c r="O119" s="58"/>
      <c r="P119" s="53" t="s">
        <v>36</v>
      </c>
      <c r="Q119" s="53"/>
      <c r="R119" s="53"/>
      <c r="S119" s="76" t="s">
        <v>202</v>
      </c>
      <c r="T119" s="53"/>
      <c r="U119" s="53"/>
    </row>
    <row r="120" spans="1:21" x14ac:dyDescent="0.25">
      <c r="A120" s="78" t="s">
        <v>139</v>
      </c>
      <c r="B120" s="78"/>
      <c r="C120" s="78"/>
      <c r="D120" s="78" t="s">
        <v>146</v>
      </c>
      <c r="E120" s="78"/>
      <c r="F120" s="78"/>
      <c r="G120" s="57" t="s">
        <v>36</v>
      </c>
      <c r="H120" s="57"/>
      <c r="I120" s="57"/>
      <c r="J120" s="65" t="s">
        <v>197</v>
      </c>
      <c r="K120" s="65"/>
      <c r="L120" s="65"/>
      <c r="M120" s="58" t="s">
        <v>36</v>
      </c>
      <c r="N120" s="58"/>
      <c r="O120" s="58"/>
      <c r="P120" s="53" t="s">
        <v>36</v>
      </c>
      <c r="Q120" s="53"/>
      <c r="R120" s="53"/>
      <c r="S120" s="76" t="s">
        <v>202</v>
      </c>
      <c r="T120" s="53"/>
      <c r="U120" s="53"/>
    </row>
    <row r="121" spans="1:21" x14ac:dyDescent="0.25">
      <c r="A121" s="78">
        <v>203032019700</v>
      </c>
      <c r="B121" s="78"/>
      <c r="C121" s="78"/>
      <c r="D121" s="78" t="s">
        <v>147</v>
      </c>
      <c r="E121" s="78"/>
      <c r="F121" s="78"/>
      <c r="G121" s="57" t="s">
        <v>36</v>
      </c>
      <c r="H121" s="57"/>
      <c r="I121" s="57"/>
      <c r="J121" s="65" t="s">
        <v>197</v>
      </c>
      <c r="K121" s="65"/>
      <c r="L121" s="65"/>
      <c r="M121" s="58" t="s">
        <v>201</v>
      </c>
      <c r="N121" s="58"/>
      <c r="O121" s="58"/>
      <c r="P121" s="61" t="s">
        <v>201</v>
      </c>
      <c r="Q121" s="61"/>
      <c r="R121" s="61"/>
      <c r="S121" s="76" t="s">
        <v>202</v>
      </c>
      <c r="T121" s="53"/>
      <c r="U121" s="53"/>
    </row>
    <row r="122" spans="1:21" x14ac:dyDescent="0.25">
      <c r="A122" s="77" t="s">
        <v>228</v>
      </c>
      <c r="B122" s="78"/>
      <c r="C122" s="78"/>
      <c r="D122" s="78" t="s">
        <v>148</v>
      </c>
      <c r="E122" s="78"/>
      <c r="F122" s="78"/>
      <c r="G122" s="57" t="s">
        <v>36</v>
      </c>
      <c r="H122" s="57"/>
      <c r="I122" s="57"/>
      <c r="J122" s="65" t="s">
        <v>197</v>
      </c>
      <c r="K122" s="65"/>
      <c r="L122" s="65"/>
      <c r="M122" s="58" t="s">
        <v>201</v>
      </c>
      <c r="N122" s="58"/>
      <c r="O122" s="58"/>
      <c r="P122" s="61" t="s">
        <v>201</v>
      </c>
      <c r="Q122" s="61"/>
      <c r="R122" s="61"/>
      <c r="S122" s="76" t="s">
        <v>202</v>
      </c>
      <c r="T122" s="53"/>
      <c r="U122" s="53"/>
    </row>
    <row r="123" spans="1:21" x14ac:dyDescent="0.25">
      <c r="A123" s="79" t="s">
        <v>15</v>
      </c>
      <c r="B123" s="79"/>
      <c r="C123" s="79"/>
      <c r="D123" s="79" t="s">
        <v>149</v>
      </c>
      <c r="E123" s="79"/>
      <c r="F123" s="79"/>
      <c r="G123" s="66" t="s">
        <v>203</v>
      </c>
      <c r="H123" s="67"/>
      <c r="I123" s="67"/>
      <c r="J123" s="63" t="s">
        <v>203</v>
      </c>
      <c r="K123" s="64"/>
      <c r="L123" s="64"/>
      <c r="M123" s="68" t="s">
        <v>203</v>
      </c>
      <c r="N123" s="69"/>
      <c r="O123" s="69"/>
      <c r="P123" s="63" t="s">
        <v>203</v>
      </c>
      <c r="Q123" s="64"/>
      <c r="R123" s="64"/>
      <c r="S123" s="63" t="s">
        <v>203</v>
      </c>
      <c r="T123" s="64"/>
      <c r="U123" s="64"/>
    </row>
    <row r="124" spans="1:21" x14ac:dyDescent="0.25">
      <c r="A124" s="78" t="s">
        <v>150</v>
      </c>
      <c r="B124" s="78"/>
      <c r="C124" s="78"/>
      <c r="D124" s="78" t="s">
        <v>176</v>
      </c>
      <c r="E124" s="78"/>
      <c r="F124" s="78"/>
      <c r="G124" s="57" t="s">
        <v>36</v>
      </c>
      <c r="H124" s="57"/>
      <c r="I124" s="57"/>
      <c r="J124" s="65" t="s">
        <v>197</v>
      </c>
      <c r="K124" s="65"/>
      <c r="L124" s="65"/>
      <c r="M124" s="58" t="s">
        <v>36</v>
      </c>
      <c r="N124" s="58"/>
      <c r="O124" s="58"/>
      <c r="P124" s="53" t="s">
        <v>36</v>
      </c>
      <c r="Q124" s="53"/>
      <c r="R124" s="53"/>
      <c r="S124" s="76" t="s">
        <v>202</v>
      </c>
      <c r="T124" s="53"/>
      <c r="U124" s="53"/>
    </row>
    <row r="125" spans="1:21" x14ac:dyDescent="0.25">
      <c r="A125" s="78" t="s">
        <v>151</v>
      </c>
      <c r="B125" s="78"/>
      <c r="C125" s="78"/>
      <c r="D125" s="78" t="s">
        <v>177</v>
      </c>
      <c r="E125" s="78"/>
      <c r="F125" s="78"/>
      <c r="G125" s="57" t="s">
        <v>36</v>
      </c>
      <c r="H125" s="57"/>
      <c r="I125" s="57"/>
      <c r="J125" s="65" t="s">
        <v>197</v>
      </c>
      <c r="K125" s="65"/>
      <c r="L125" s="65"/>
      <c r="M125" s="58" t="s">
        <v>36</v>
      </c>
      <c r="N125" s="58"/>
      <c r="O125" s="58"/>
      <c r="P125" s="53" t="s">
        <v>36</v>
      </c>
      <c r="Q125" s="53"/>
      <c r="R125" s="53"/>
      <c r="S125" s="76" t="s">
        <v>202</v>
      </c>
      <c r="T125" s="53"/>
      <c r="U125" s="53"/>
    </row>
    <row r="126" spans="1:21" x14ac:dyDescent="0.25">
      <c r="A126" s="78" t="s">
        <v>152</v>
      </c>
      <c r="B126" s="78"/>
      <c r="C126" s="78"/>
      <c r="D126" s="78" t="s">
        <v>178</v>
      </c>
      <c r="E126" s="78"/>
      <c r="F126" s="78"/>
      <c r="G126" s="57" t="s">
        <v>36</v>
      </c>
      <c r="H126" s="57"/>
      <c r="I126" s="57"/>
      <c r="J126" s="65" t="s">
        <v>197</v>
      </c>
      <c r="K126" s="65"/>
      <c r="L126" s="65"/>
      <c r="M126" s="58" t="s">
        <v>36</v>
      </c>
      <c r="N126" s="58"/>
      <c r="O126" s="58"/>
      <c r="P126" s="53" t="s">
        <v>36</v>
      </c>
      <c r="Q126" s="53"/>
      <c r="R126" s="53"/>
      <c r="S126" s="76" t="s">
        <v>202</v>
      </c>
      <c r="T126" s="53"/>
      <c r="U126" s="53"/>
    </row>
    <row r="127" spans="1:21" x14ac:dyDescent="0.25">
      <c r="A127" s="78" t="s">
        <v>153</v>
      </c>
      <c r="B127" s="78"/>
      <c r="C127" s="78"/>
      <c r="D127" s="78" t="s">
        <v>179</v>
      </c>
      <c r="E127" s="78"/>
      <c r="F127" s="78"/>
      <c r="G127" s="57" t="s">
        <v>201</v>
      </c>
      <c r="H127" s="57"/>
      <c r="I127" s="57"/>
      <c r="J127" s="86" t="s">
        <v>199</v>
      </c>
      <c r="K127" s="86"/>
      <c r="L127" s="86"/>
      <c r="M127" s="58" t="s">
        <v>201</v>
      </c>
      <c r="N127" s="58"/>
      <c r="O127" s="58"/>
      <c r="P127" s="53" t="s">
        <v>36</v>
      </c>
      <c r="Q127" s="53"/>
      <c r="R127" s="53"/>
      <c r="S127" s="53" t="s">
        <v>36</v>
      </c>
      <c r="T127" s="53"/>
      <c r="U127" s="53"/>
    </row>
    <row r="128" spans="1:21" x14ac:dyDescent="0.25">
      <c r="A128" s="78" t="s">
        <v>154</v>
      </c>
      <c r="B128" s="78"/>
      <c r="C128" s="78"/>
      <c r="D128" s="78" t="s">
        <v>54</v>
      </c>
      <c r="E128" s="78"/>
      <c r="F128" s="78"/>
      <c r="G128" s="57" t="s">
        <v>36</v>
      </c>
      <c r="H128" s="57"/>
      <c r="I128" s="57"/>
      <c r="J128" s="86" t="s">
        <v>199</v>
      </c>
      <c r="K128" s="86"/>
      <c r="L128" s="86"/>
      <c r="M128" s="58" t="s">
        <v>36</v>
      </c>
      <c r="N128" s="58"/>
      <c r="O128" s="58"/>
      <c r="P128" s="53" t="s">
        <v>36</v>
      </c>
      <c r="Q128" s="53"/>
      <c r="R128" s="53"/>
      <c r="S128" s="53" t="s">
        <v>36</v>
      </c>
      <c r="T128" s="53"/>
      <c r="U128" s="53"/>
    </row>
    <row r="129" spans="1:21" x14ac:dyDescent="0.25">
      <c r="A129" s="77" t="s">
        <v>228</v>
      </c>
      <c r="B129" s="78"/>
      <c r="C129" s="78"/>
      <c r="D129" s="78" t="s">
        <v>180</v>
      </c>
      <c r="E129" s="78"/>
      <c r="F129" s="78"/>
      <c r="G129" s="57" t="s">
        <v>36</v>
      </c>
      <c r="H129" s="57"/>
      <c r="I129" s="57"/>
      <c r="J129" s="86" t="s">
        <v>199</v>
      </c>
      <c r="K129" s="86"/>
      <c r="L129" s="86"/>
      <c r="M129" s="58" t="s">
        <v>201</v>
      </c>
      <c r="N129" s="58"/>
      <c r="O129" s="58"/>
      <c r="P129" s="53" t="s">
        <v>36</v>
      </c>
      <c r="Q129" s="53"/>
      <c r="R129" s="53"/>
      <c r="S129" s="53" t="s">
        <v>36</v>
      </c>
      <c r="T129" s="53"/>
      <c r="U129" s="53"/>
    </row>
    <row r="130" spans="1:21" x14ac:dyDescent="0.25">
      <c r="A130" s="78">
        <v>203032019700</v>
      </c>
      <c r="B130" s="78"/>
      <c r="C130" s="78"/>
      <c r="D130" s="78" t="s">
        <v>147</v>
      </c>
      <c r="E130" s="78"/>
      <c r="F130" s="78"/>
      <c r="G130" s="57" t="s">
        <v>36</v>
      </c>
      <c r="H130" s="57"/>
      <c r="I130" s="57"/>
      <c r="J130" s="86" t="s">
        <v>199</v>
      </c>
      <c r="K130" s="86"/>
      <c r="L130" s="86"/>
      <c r="M130" s="58" t="s">
        <v>201</v>
      </c>
      <c r="N130" s="58"/>
      <c r="O130" s="58"/>
      <c r="P130" s="53" t="s">
        <v>36</v>
      </c>
      <c r="Q130" s="53"/>
      <c r="R130" s="53"/>
      <c r="S130" s="53" t="s">
        <v>36</v>
      </c>
      <c r="T130" s="53"/>
      <c r="U130" s="53"/>
    </row>
    <row r="131" spans="1:21" x14ac:dyDescent="0.25">
      <c r="A131" s="78" t="s">
        <v>155</v>
      </c>
      <c r="B131" s="78"/>
      <c r="C131" s="78"/>
      <c r="D131" s="78" t="s">
        <v>181</v>
      </c>
      <c r="E131" s="78"/>
      <c r="F131" s="78"/>
      <c r="G131" s="57" t="s">
        <v>36</v>
      </c>
      <c r="H131" s="57"/>
      <c r="I131" s="57"/>
      <c r="J131" s="86" t="s">
        <v>199</v>
      </c>
      <c r="K131" s="86"/>
      <c r="L131" s="86"/>
      <c r="M131" s="58" t="s">
        <v>36</v>
      </c>
      <c r="N131" s="58"/>
      <c r="O131" s="58"/>
      <c r="P131" s="53" t="s">
        <v>36</v>
      </c>
      <c r="Q131" s="53"/>
      <c r="R131" s="53"/>
      <c r="S131" s="53" t="s">
        <v>36</v>
      </c>
      <c r="T131" s="53"/>
      <c r="U131" s="53"/>
    </row>
    <row r="132" spans="1:21" x14ac:dyDescent="0.25">
      <c r="A132" s="77" t="s">
        <v>229</v>
      </c>
      <c r="B132" s="78"/>
      <c r="C132" s="78"/>
      <c r="D132" s="78" t="s">
        <v>51</v>
      </c>
      <c r="E132" s="78"/>
      <c r="F132" s="78"/>
      <c r="G132" s="57" t="s">
        <v>36</v>
      </c>
      <c r="H132" s="57"/>
      <c r="I132" s="57"/>
      <c r="J132" s="86" t="s">
        <v>199</v>
      </c>
      <c r="K132" s="86"/>
      <c r="L132" s="86"/>
      <c r="M132" s="58" t="s">
        <v>36</v>
      </c>
      <c r="N132" s="58"/>
      <c r="O132" s="58"/>
      <c r="P132" s="53" t="s">
        <v>36</v>
      </c>
      <c r="Q132" s="53"/>
      <c r="R132" s="53"/>
      <c r="S132" s="53" t="s">
        <v>36</v>
      </c>
      <c r="T132" s="53"/>
      <c r="U132" s="53"/>
    </row>
    <row r="133" spans="1:21" x14ac:dyDescent="0.25">
      <c r="A133" s="78" t="s">
        <v>156</v>
      </c>
      <c r="B133" s="78"/>
      <c r="C133" s="78"/>
      <c r="D133" s="78" t="s">
        <v>182</v>
      </c>
      <c r="E133" s="78"/>
      <c r="F133" s="78"/>
      <c r="G133" s="57" t="s">
        <v>36</v>
      </c>
      <c r="H133" s="57"/>
      <c r="I133" s="57"/>
      <c r="J133" s="86" t="s">
        <v>199</v>
      </c>
      <c r="K133" s="86"/>
      <c r="L133" s="86"/>
      <c r="M133" s="58" t="s">
        <v>36</v>
      </c>
      <c r="N133" s="58"/>
      <c r="O133" s="58"/>
      <c r="P133" s="53" t="s">
        <v>36</v>
      </c>
      <c r="Q133" s="53"/>
      <c r="R133" s="53"/>
      <c r="S133" s="53" t="s">
        <v>36</v>
      </c>
      <c r="T133" s="53"/>
      <c r="U133" s="53"/>
    </row>
    <row r="134" spans="1:21" x14ac:dyDescent="0.25">
      <c r="A134" s="78" t="s">
        <v>157</v>
      </c>
      <c r="B134" s="78"/>
      <c r="C134" s="78"/>
      <c r="D134" s="78" t="s">
        <v>49</v>
      </c>
      <c r="E134" s="78"/>
      <c r="F134" s="78"/>
      <c r="G134" s="57" t="s">
        <v>36</v>
      </c>
      <c r="H134" s="57"/>
      <c r="I134" s="57"/>
      <c r="J134" s="86" t="s">
        <v>199</v>
      </c>
      <c r="K134" s="86"/>
      <c r="L134" s="86"/>
      <c r="M134" s="58" t="s">
        <v>36</v>
      </c>
      <c r="N134" s="58"/>
      <c r="O134" s="58"/>
      <c r="P134" s="53" t="s">
        <v>36</v>
      </c>
      <c r="Q134" s="53"/>
      <c r="R134" s="53"/>
      <c r="S134" s="53" t="s">
        <v>36</v>
      </c>
      <c r="T134" s="53"/>
      <c r="U134" s="53"/>
    </row>
    <row r="135" spans="1:21" x14ac:dyDescent="0.25">
      <c r="A135" s="78" t="s">
        <v>158</v>
      </c>
      <c r="B135" s="78"/>
      <c r="C135" s="78"/>
      <c r="D135" s="78" t="s">
        <v>183</v>
      </c>
      <c r="E135" s="78"/>
      <c r="F135" s="78"/>
      <c r="G135" s="57" t="s">
        <v>36</v>
      </c>
      <c r="H135" s="57"/>
      <c r="I135" s="57"/>
      <c r="J135" s="86" t="s">
        <v>199</v>
      </c>
      <c r="K135" s="86"/>
      <c r="L135" s="86"/>
      <c r="M135" s="58" t="s">
        <v>201</v>
      </c>
      <c r="N135" s="58"/>
      <c r="O135" s="58"/>
      <c r="P135" s="53" t="s">
        <v>36</v>
      </c>
      <c r="Q135" s="53"/>
      <c r="R135" s="53"/>
      <c r="S135" s="53" t="s">
        <v>36</v>
      </c>
      <c r="T135" s="53"/>
      <c r="U135" s="53"/>
    </row>
    <row r="136" spans="1:21" x14ac:dyDescent="0.25">
      <c r="A136" s="78" t="s">
        <v>159</v>
      </c>
      <c r="B136" s="78"/>
      <c r="C136" s="78"/>
      <c r="D136" s="78" t="s">
        <v>184</v>
      </c>
      <c r="E136" s="78"/>
      <c r="F136" s="78"/>
      <c r="G136" s="57" t="s">
        <v>36</v>
      </c>
      <c r="H136" s="57"/>
      <c r="I136" s="57"/>
      <c r="J136" s="86" t="s">
        <v>199</v>
      </c>
      <c r="K136" s="86"/>
      <c r="L136" s="86"/>
      <c r="M136" s="58" t="s">
        <v>36</v>
      </c>
      <c r="N136" s="58"/>
      <c r="O136" s="58"/>
      <c r="P136" s="53" t="s">
        <v>36</v>
      </c>
      <c r="Q136" s="53"/>
      <c r="R136" s="53"/>
      <c r="S136" s="53" t="s">
        <v>36</v>
      </c>
      <c r="T136" s="53"/>
      <c r="U136" s="53"/>
    </row>
    <row r="137" spans="1:21" x14ac:dyDescent="0.25">
      <c r="A137" s="78" t="s">
        <v>160</v>
      </c>
      <c r="B137" s="78"/>
      <c r="C137" s="78"/>
      <c r="D137" s="78" t="s">
        <v>185</v>
      </c>
      <c r="E137" s="78"/>
      <c r="F137" s="78"/>
      <c r="G137" s="57" t="s">
        <v>36</v>
      </c>
      <c r="H137" s="57"/>
      <c r="I137" s="57"/>
      <c r="J137" s="86" t="s">
        <v>199</v>
      </c>
      <c r="K137" s="86"/>
      <c r="L137" s="86"/>
      <c r="M137" s="58" t="s">
        <v>36</v>
      </c>
      <c r="N137" s="58"/>
      <c r="O137" s="58"/>
      <c r="P137" s="53" t="s">
        <v>36</v>
      </c>
      <c r="Q137" s="53"/>
      <c r="R137" s="53"/>
      <c r="S137" s="53" t="s">
        <v>36</v>
      </c>
      <c r="T137" s="53"/>
      <c r="U137" s="53"/>
    </row>
    <row r="138" spans="1:21" x14ac:dyDescent="0.25">
      <c r="A138" s="78" t="s">
        <v>161</v>
      </c>
      <c r="B138" s="78"/>
      <c r="C138" s="78"/>
      <c r="D138" s="78" t="s">
        <v>186</v>
      </c>
      <c r="E138" s="78"/>
      <c r="F138" s="78"/>
      <c r="G138" s="57" t="s">
        <v>36</v>
      </c>
      <c r="H138" s="57"/>
      <c r="I138" s="57"/>
      <c r="J138" s="86" t="s">
        <v>199</v>
      </c>
      <c r="K138" s="86"/>
      <c r="L138" s="86"/>
      <c r="M138" s="58" t="s">
        <v>36</v>
      </c>
      <c r="N138" s="58"/>
      <c r="O138" s="58"/>
      <c r="P138" s="53" t="s">
        <v>36</v>
      </c>
      <c r="Q138" s="53"/>
      <c r="R138" s="53"/>
      <c r="S138" s="53" t="s">
        <v>36</v>
      </c>
      <c r="T138" s="53"/>
      <c r="U138" s="53"/>
    </row>
    <row r="139" spans="1:21" x14ac:dyDescent="0.25">
      <c r="A139" s="78" t="s">
        <v>162</v>
      </c>
      <c r="B139" s="78"/>
      <c r="C139" s="78"/>
      <c r="D139" s="78" t="s">
        <v>182</v>
      </c>
      <c r="E139" s="78"/>
      <c r="F139" s="78"/>
      <c r="G139" s="57" t="s">
        <v>36</v>
      </c>
      <c r="H139" s="57"/>
      <c r="I139" s="57"/>
      <c r="J139" s="86" t="s">
        <v>199</v>
      </c>
      <c r="K139" s="86"/>
      <c r="L139" s="86"/>
      <c r="M139" s="58" t="s">
        <v>36</v>
      </c>
      <c r="N139" s="58"/>
      <c r="O139" s="58"/>
      <c r="P139" s="53" t="s">
        <v>36</v>
      </c>
      <c r="Q139" s="53"/>
      <c r="R139" s="53"/>
      <c r="S139" s="53" t="s">
        <v>36</v>
      </c>
      <c r="T139" s="53"/>
      <c r="U139" s="53"/>
    </row>
    <row r="140" spans="1:21" x14ac:dyDescent="0.25">
      <c r="A140" s="78" t="s">
        <v>163</v>
      </c>
      <c r="B140" s="78"/>
      <c r="C140" s="78"/>
      <c r="D140" s="78" t="s">
        <v>187</v>
      </c>
      <c r="E140" s="78"/>
      <c r="F140" s="78"/>
      <c r="G140" s="57" t="s">
        <v>36</v>
      </c>
      <c r="H140" s="57"/>
      <c r="I140" s="57"/>
      <c r="J140" s="86" t="s">
        <v>199</v>
      </c>
      <c r="K140" s="86"/>
      <c r="L140" s="86"/>
      <c r="M140" s="58" t="s">
        <v>36</v>
      </c>
      <c r="N140" s="58"/>
      <c r="O140" s="58"/>
      <c r="P140" s="53" t="s">
        <v>36</v>
      </c>
      <c r="Q140" s="53"/>
      <c r="R140" s="53"/>
      <c r="S140" s="53" t="s">
        <v>36</v>
      </c>
      <c r="T140" s="53"/>
      <c r="U140" s="53"/>
    </row>
    <row r="141" spans="1:21" x14ac:dyDescent="0.25">
      <c r="A141" s="78" t="s">
        <v>164</v>
      </c>
      <c r="B141" s="78"/>
      <c r="C141" s="78"/>
      <c r="D141" s="78" t="s">
        <v>188</v>
      </c>
      <c r="E141" s="78"/>
      <c r="F141" s="78"/>
      <c r="G141" s="57" t="s">
        <v>36</v>
      </c>
      <c r="H141" s="57"/>
      <c r="I141" s="57"/>
      <c r="J141" s="86" t="s">
        <v>199</v>
      </c>
      <c r="K141" s="86"/>
      <c r="L141" s="86"/>
      <c r="M141" s="58" t="s">
        <v>36</v>
      </c>
      <c r="N141" s="58"/>
      <c r="O141" s="58"/>
      <c r="P141" s="53" t="s">
        <v>36</v>
      </c>
      <c r="Q141" s="53"/>
      <c r="R141" s="53"/>
      <c r="S141" s="53" t="s">
        <v>36</v>
      </c>
      <c r="T141" s="53"/>
      <c r="U141" s="53"/>
    </row>
    <row r="142" spans="1:21" x14ac:dyDescent="0.25">
      <c r="A142" s="78" t="s">
        <v>165</v>
      </c>
      <c r="B142" s="78"/>
      <c r="C142" s="78"/>
      <c r="D142" s="78" t="s">
        <v>189</v>
      </c>
      <c r="E142" s="78"/>
      <c r="F142" s="78"/>
      <c r="G142" s="57" t="s">
        <v>36</v>
      </c>
      <c r="H142" s="57"/>
      <c r="I142" s="57"/>
      <c r="J142" s="65" t="s">
        <v>197</v>
      </c>
      <c r="K142" s="65"/>
      <c r="L142" s="65"/>
      <c r="M142" s="58" t="s">
        <v>36</v>
      </c>
      <c r="N142" s="58"/>
      <c r="O142" s="58"/>
      <c r="P142" s="53" t="s">
        <v>36</v>
      </c>
      <c r="Q142" s="53"/>
      <c r="R142" s="53"/>
      <c r="S142" s="76" t="s">
        <v>202</v>
      </c>
      <c r="T142" s="53"/>
      <c r="U142" s="53"/>
    </row>
    <row r="143" spans="1:21" x14ac:dyDescent="0.25">
      <c r="A143" s="78" t="s">
        <v>166</v>
      </c>
      <c r="B143" s="78"/>
      <c r="C143" s="78"/>
      <c r="D143" s="78" t="s">
        <v>78</v>
      </c>
      <c r="E143" s="78"/>
      <c r="F143" s="78"/>
      <c r="G143" s="57" t="s">
        <v>36</v>
      </c>
      <c r="H143" s="57"/>
      <c r="I143" s="57"/>
      <c r="J143" s="65" t="s">
        <v>197</v>
      </c>
      <c r="K143" s="65"/>
      <c r="L143" s="65"/>
      <c r="M143" s="58" t="s">
        <v>201</v>
      </c>
      <c r="N143" s="58"/>
      <c r="O143" s="58"/>
      <c r="P143" s="53" t="s">
        <v>36</v>
      </c>
      <c r="Q143" s="53"/>
      <c r="R143" s="53"/>
      <c r="S143" s="76" t="s">
        <v>202</v>
      </c>
      <c r="T143" s="53"/>
      <c r="U143" s="53"/>
    </row>
    <row r="144" spans="1:21" x14ac:dyDescent="0.25">
      <c r="A144" s="78" t="s">
        <v>167</v>
      </c>
      <c r="B144" s="78"/>
      <c r="C144" s="78"/>
      <c r="D144" s="78" t="s">
        <v>80</v>
      </c>
      <c r="E144" s="78"/>
      <c r="F144" s="78"/>
      <c r="G144" s="57" t="s">
        <v>36</v>
      </c>
      <c r="H144" s="57"/>
      <c r="I144" s="57"/>
      <c r="J144" s="65" t="s">
        <v>197</v>
      </c>
      <c r="K144" s="65"/>
      <c r="L144" s="65"/>
      <c r="M144" s="58" t="s">
        <v>36</v>
      </c>
      <c r="N144" s="58"/>
      <c r="O144" s="58"/>
      <c r="P144" s="53" t="s">
        <v>36</v>
      </c>
      <c r="Q144" s="53"/>
      <c r="R144" s="53"/>
      <c r="S144" s="76" t="s">
        <v>202</v>
      </c>
      <c r="T144" s="53"/>
      <c r="U144" s="53"/>
    </row>
    <row r="145" spans="1:21" x14ac:dyDescent="0.25">
      <c r="A145" s="78" t="s">
        <v>168</v>
      </c>
      <c r="B145" s="78"/>
      <c r="C145" s="78"/>
      <c r="D145" s="78" t="s">
        <v>190</v>
      </c>
      <c r="E145" s="78"/>
      <c r="F145" s="78"/>
      <c r="G145" s="57" t="s">
        <v>36</v>
      </c>
      <c r="H145" s="57"/>
      <c r="I145" s="57"/>
      <c r="J145" s="86" t="s">
        <v>199</v>
      </c>
      <c r="K145" s="86"/>
      <c r="L145" s="86"/>
      <c r="M145" s="58" t="s">
        <v>36</v>
      </c>
      <c r="N145" s="58"/>
      <c r="O145" s="58"/>
      <c r="P145" s="53" t="s">
        <v>36</v>
      </c>
      <c r="Q145" s="53"/>
      <c r="R145" s="53"/>
      <c r="S145" s="53" t="s">
        <v>36</v>
      </c>
      <c r="T145" s="53"/>
      <c r="U145" s="53"/>
    </row>
    <row r="146" spans="1:21" x14ac:dyDescent="0.25">
      <c r="A146" s="78" t="s">
        <v>169</v>
      </c>
      <c r="B146" s="78"/>
      <c r="C146" s="78"/>
      <c r="D146" s="78" t="s">
        <v>191</v>
      </c>
      <c r="E146" s="78"/>
      <c r="F146" s="78"/>
      <c r="G146" s="57" t="s">
        <v>36</v>
      </c>
      <c r="H146" s="57"/>
      <c r="I146" s="57"/>
      <c r="J146" s="86" t="s">
        <v>199</v>
      </c>
      <c r="K146" s="86"/>
      <c r="L146" s="86"/>
      <c r="M146" s="58" t="s">
        <v>36</v>
      </c>
      <c r="N146" s="58"/>
      <c r="O146" s="58"/>
      <c r="P146" s="53" t="s">
        <v>36</v>
      </c>
      <c r="Q146" s="53"/>
      <c r="R146" s="53"/>
      <c r="S146" s="53" t="s">
        <v>36</v>
      </c>
      <c r="T146" s="53"/>
      <c r="U146" s="53"/>
    </row>
    <row r="147" spans="1:21" x14ac:dyDescent="0.25">
      <c r="A147" s="78" t="s">
        <v>170</v>
      </c>
      <c r="B147" s="78"/>
      <c r="C147" s="78"/>
      <c r="D147" s="78" t="s">
        <v>192</v>
      </c>
      <c r="E147" s="78"/>
      <c r="F147" s="78"/>
      <c r="G147" s="57" t="s">
        <v>36</v>
      </c>
      <c r="H147" s="57"/>
      <c r="I147" s="57"/>
      <c r="J147" s="86" t="s">
        <v>199</v>
      </c>
      <c r="K147" s="86"/>
      <c r="L147" s="86"/>
      <c r="M147" s="58" t="s">
        <v>36</v>
      </c>
      <c r="N147" s="58"/>
      <c r="O147" s="58"/>
      <c r="P147" s="53" t="s">
        <v>36</v>
      </c>
      <c r="Q147" s="53"/>
      <c r="R147" s="53"/>
      <c r="S147" s="53" t="s">
        <v>36</v>
      </c>
      <c r="T147" s="53"/>
      <c r="U147" s="53"/>
    </row>
    <row r="148" spans="1:21" x14ac:dyDescent="0.25">
      <c r="A148" s="78" t="s">
        <v>171</v>
      </c>
      <c r="B148" s="78"/>
      <c r="C148" s="78"/>
      <c r="D148" s="78" t="s">
        <v>187</v>
      </c>
      <c r="E148" s="78"/>
      <c r="F148" s="78"/>
      <c r="G148" s="57" t="s">
        <v>36</v>
      </c>
      <c r="H148" s="57"/>
      <c r="I148" s="57"/>
      <c r="J148" s="86" t="s">
        <v>199</v>
      </c>
      <c r="K148" s="86"/>
      <c r="L148" s="86"/>
      <c r="M148" s="58" t="s">
        <v>36</v>
      </c>
      <c r="N148" s="58"/>
      <c r="O148" s="58"/>
      <c r="P148" s="53" t="s">
        <v>36</v>
      </c>
      <c r="Q148" s="53"/>
      <c r="R148" s="53"/>
      <c r="S148" s="53" t="s">
        <v>36</v>
      </c>
      <c r="T148" s="53"/>
      <c r="U148" s="53"/>
    </row>
    <row r="149" spans="1:21" x14ac:dyDescent="0.25">
      <c r="A149" s="78" t="s">
        <v>172</v>
      </c>
      <c r="B149" s="78"/>
      <c r="C149" s="78"/>
      <c r="D149" s="78" t="s">
        <v>193</v>
      </c>
      <c r="E149" s="78"/>
      <c r="F149" s="78"/>
      <c r="G149" s="57" t="s">
        <v>36</v>
      </c>
      <c r="H149" s="57"/>
      <c r="I149" s="57"/>
      <c r="J149" s="65" t="s">
        <v>197</v>
      </c>
      <c r="K149" s="65"/>
      <c r="L149" s="65"/>
      <c r="M149" s="58" t="s">
        <v>36</v>
      </c>
      <c r="N149" s="58"/>
      <c r="O149" s="58"/>
      <c r="P149" s="53" t="s">
        <v>36</v>
      </c>
      <c r="Q149" s="53"/>
      <c r="R149" s="53"/>
      <c r="S149" s="76" t="s">
        <v>202</v>
      </c>
      <c r="T149" s="53"/>
      <c r="U149" s="53"/>
    </row>
    <row r="150" spans="1:21" x14ac:dyDescent="0.25">
      <c r="A150" s="78" t="s">
        <v>173</v>
      </c>
      <c r="B150" s="78"/>
      <c r="C150" s="78"/>
      <c r="D150" s="78" t="s">
        <v>194</v>
      </c>
      <c r="E150" s="78"/>
      <c r="F150" s="78"/>
      <c r="G150" s="57" t="s">
        <v>36</v>
      </c>
      <c r="H150" s="57"/>
      <c r="I150" s="57"/>
      <c r="J150" s="65" t="s">
        <v>197</v>
      </c>
      <c r="K150" s="65"/>
      <c r="L150" s="65"/>
      <c r="M150" s="58" t="s">
        <v>36</v>
      </c>
      <c r="N150" s="58"/>
      <c r="O150" s="58"/>
      <c r="P150" s="53" t="s">
        <v>36</v>
      </c>
      <c r="Q150" s="53"/>
      <c r="R150" s="53"/>
      <c r="S150" s="76" t="s">
        <v>202</v>
      </c>
      <c r="T150" s="53"/>
      <c r="U150" s="53"/>
    </row>
    <row r="151" spans="1:21" x14ac:dyDescent="0.25">
      <c r="A151" s="78" t="s">
        <v>174</v>
      </c>
      <c r="B151" s="78"/>
      <c r="C151" s="78"/>
      <c r="D151" s="78" t="s">
        <v>195</v>
      </c>
      <c r="E151" s="78"/>
      <c r="F151" s="78"/>
      <c r="G151" s="57" t="s">
        <v>36</v>
      </c>
      <c r="H151" s="57"/>
      <c r="I151" s="57"/>
      <c r="J151" s="86" t="s">
        <v>199</v>
      </c>
      <c r="K151" s="86"/>
      <c r="L151" s="86"/>
      <c r="M151" s="58" t="s">
        <v>36</v>
      </c>
      <c r="N151" s="58"/>
      <c r="O151" s="58"/>
      <c r="P151" s="53" t="s">
        <v>36</v>
      </c>
      <c r="Q151" s="53"/>
      <c r="R151" s="53"/>
      <c r="S151" s="53" t="s">
        <v>36</v>
      </c>
      <c r="T151" s="53"/>
      <c r="U151" s="53"/>
    </row>
    <row r="152" spans="1:21" x14ac:dyDescent="0.25">
      <c r="A152" s="78" t="s">
        <v>175</v>
      </c>
      <c r="B152" s="78"/>
      <c r="C152" s="78"/>
      <c r="D152" s="78" t="s">
        <v>196</v>
      </c>
      <c r="E152" s="78"/>
      <c r="F152" s="78"/>
      <c r="G152" s="57" t="s">
        <v>201</v>
      </c>
      <c r="H152" s="57"/>
      <c r="I152" s="57"/>
      <c r="J152" s="86" t="s">
        <v>199</v>
      </c>
      <c r="K152" s="86"/>
      <c r="L152" s="86"/>
      <c r="M152" s="58" t="s">
        <v>201</v>
      </c>
      <c r="N152" s="58"/>
      <c r="O152" s="58"/>
      <c r="P152" s="53" t="s">
        <v>36</v>
      </c>
      <c r="Q152" s="53"/>
      <c r="R152" s="53"/>
      <c r="S152" s="53" t="s">
        <v>36</v>
      </c>
      <c r="T152" s="53"/>
      <c r="U152" s="53"/>
    </row>
  </sheetData>
  <mergeCells count="1066">
    <mergeCell ref="A1:U1"/>
    <mergeCell ref="J150:L150"/>
    <mergeCell ref="J108:L108"/>
    <mergeCell ref="J110:L110"/>
    <mergeCell ref="J111:L111"/>
    <mergeCell ref="J109:L109"/>
    <mergeCell ref="J107:L107"/>
    <mergeCell ref="J147:L147"/>
    <mergeCell ref="J148:L148"/>
    <mergeCell ref="J151:L151"/>
    <mergeCell ref="J152:L152"/>
    <mergeCell ref="J126:L126"/>
    <mergeCell ref="J127:L127"/>
    <mergeCell ref="J142:L142"/>
    <mergeCell ref="J143:L143"/>
    <mergeCell ref="J144:L144"/>
    <mergeCell ref="J149:L149"/>
    <mergeCell ref="J138:L138"/>
    <mergeCell ref="J139:L139"/>
    <mergeCell ref="J140:L140"/>
    <mergeCell ref="J141:L141"/>
    <mergeCell ref="J145:L145"/>
    <mergeCell ref="J146:L146"/>
    <mergeCell ref="J132:L132"/>
    <mergeCell ref="J133:L133"/>
    <mergeCell ref="J134:L134"/>
    <mergeCell ref="J135:L135"/>
    <mergeCell ref="J136:L136"/>
    <mergeCell ref="J137:L137"/>
    <mergeCell ref="S152:U152"/>
    <mergeCell ref="G152:I152"/>
    <mergeCell ref="M152:O152"/>
    <mergeCell ref="J123:L123"/>
    <mergeCell ref="J124:L124"/>
    <mergeCell ref="J125:L125"/>
    <mergeCell ref="J128:L128"/>
    <mergeCell ref="J129:L129"/>
    <mergeCell ref="J130:L130"/>
    <mergeCell ref="J131:L131"/>
    <mergeCell ref="S150:U150"/>
    <mergeCell ref="G150:I150"/>
    <mergeCell ref="M150:O150"/>
    <mergeCell ref="S151:U151"/>
    <mergeCell ref="G151:I151"/>
    <mergeCell ref="M151:O151"/>
    <mergeCell ref="S148:U148"/>
    <mergeCell ref="G148:I148"/>
    <mergeCell ref="M148:O148"/>
    <mergeCell ref="S149:U149"/>
    <mergeCell ref="G149:I149"/>
    <mergeCell ref="M149:O149"/>
    <mergeCell ref="S146:U146"/>
    <mergeCell ref="G146:I146"/>
    <mergeCell ref="M146:O146"/>
    <mergeCell ref="S147:U147"/>
    <mergeCell ref="G147:I147"/>
    <mergeCell ref="M147:O147"/>
    <mergeCell ref="S144:U144"/>
    <mergeCell ref="G144:I144"/>
    <mergeCell ref="M144:O144"/>
    <mergeCell ref="S145:U145"/>
    <mergeCell ref="G145:I145"/>
    <mergeCell ref="M145:O145"/>
    <mergeCell ref="S142:U142"/>
    <mergeCell ref="G142:I142"/>
    <mergeCell ref="M142:O142"/>
    <mergeCell ref="S143:U143"/>
    <mergeCell ref="G143:I143"/>
    <mergeCell ref="M143:O143"/>
    <mergeCell ref="S140:U140"/>
    <mergeCell ref="G140:I140"/>
    <mergeCell ref="M140:O140"/>
    <mergeCell ref="S141:U141"/>
    <mergeCell ref="G141:I141"/>
    <mergeCell ref="M141:O141"/>
    <mergeCell ref="S138:U138"/>
    <mergeCell ref="G138:I138"/>
    <mergeCell ref="M138:O138"/>
    <mergeCell ref="S139:U139"/>
    <mergeCell ref="G139:I139"/>
    <mergeCell ref="M139:O139"/>
    <mergeCell ref="S136:U136"/>
    <mergeCell ref="G136:I136"/>
    <mergeCell ref="M136:O136"/>
    <mergeCell ref="S137:U137"/>
    <mergeCell ref="G137:I137"/>
    <mergeCell ref="M137:O137"/>
    <mergeCell ref="S134:U134"/>
    <mergeCell ref="G134:I134"/>
    <mergeCell ref="M134:O134"/>
    <mergeCell ref="S135:U135"/>
    <mergeCell ref="G135:I135"/>
    <mergeCell ref="M135:O135"/>
    <mergeCell ref="S132:U132"/>
    <mergeCell ref="G132:I132"/>
    <mergeCell ref="M132:O132"/>
    <mergeCell ref="S133:U133"/>
    <mergeCell ref="G133:I133"/>
    <mergeCell ref="M133:O133"/>
    <mergeCell ref="P136:R136"/>
    <mergeCell ref="P137:R137"/>
    <mergeCell ref="S130:U130"/>
    <mergeCell ref="G130:I130"/>
    <mergeCell ref="M130:O130"/>
    <mergeCell ref="S131:U131"/>
    <mergeCell ref="G131:I131"/>
    <mergeCell ref="M131:O131"/>
    <mergeCell ref="S128:U128"/>
    <mergeCell ref="G128:I128"/>
    <mergeCell ref="M128:O128"/>
    <mergeCell ref="S129:U129"/>
    <mergeCell ref="G129:I129"/>
    <mergeCell ref="M129:O129"/>
    <mergeCell ref="S126:U126"/>
    <mergeCell ref="G126:I126"/>
    <mergeCell ref="M126:O126"/>
    <mergeCell ref="S127:U127"/>
    <mergeCell ref="G127:I127"/>
    <mergeCell ref="M127:O127"/>
    <mergeCell ref="P126:R126"/>
    <mergeCell ref="P127:R127"/>
    <mergeCell ref="P128:R128"/>
    <mergeCell ref="P129:R129"/>
    <mergeCell ref="P130:R130"/>
    <mergeCell ref="P131:R131"/>
    <mergeCell ref="S124:U124"/>
    <mergeCell ref="G124:I124"/>
    <mergeCell ref="M124:O124"/>
    <mergeCell ref="S125:U125"/>
    <mergeCell ref="G125:I125"/>
    <mergeCell ref="M125:O125"/>
    <mergeCell ref="S122:U122"/>
    <mergeCell ref="G122:I122"/>
    <mergeCell ref="M122:O122"/>
    <mergeCell ref="S123:U123"/>
    <mergeCell ref="G123:I123"/>
    <mergeCell ref="M123:O123"/>
    <mergeCell ref="S120:U120"/>
    <mergeCell ref="G120:I120"/>
    <mergeCell ref="M120:O120"/>
    <mergeCell ref="S121:U121"/>
    <mergeCell ref="G121:I121"/>
    <mergeCell ref="M121:O121"/>
    <mergeCell ref="P120:R120"/>
    <mergeCell ref="P121:R121"/>
    <mergeCell ref="P123:R123"/>
    <mergeCell ref="P124:R124"/>
    <mergeCell ref="P125:R125"/>
    <mergeCell ref="J120:L120"/>
    <mergeCell ref="J121:L121"/>
    <mergeCell ref="J122:L122"/>
    <mergeCell ref="S118:U118"/>
    <mergeCell ref="G118:I118"/>
    <mergeCell ref="M118:O118"/>
    <mergeCell ref="S119:U119"/>
    <mergeCell ref="G119:I119"/>
    <mergeCell ref="M119:O119"/>
    <mergeCell ref="S116:U116"/>
    <mergeCell ref="G116:I116"/>
    <mergeCell ref="M116:O116"/>
    <mergeCell ref="S117:U117"/>
    <mergeCell ref="G117:I117"/>
    <mergeCell ref="M117:O117"/>
    <mergeCell ref="S114:U114"/>
    <mergeCell ref="G114:I114"/>
    <mergeCell ref="M114:O114"/>
    <mergeCell ref="S115:U115"/>
    <mergeCell ref="G115:I115"/>
    <mergeCell ref="M115:O115"/>
    <mergeCell ref="P114:R114"/>
    <mergeCell ref="P115:R115"/>
    <mergeCell ref="P116:R116"/>
    <mergeCell ref="P117:R117"/>
    <mergeCell ref="P118:R118"/>
    <mergeCell ref="P119:R119"/>
    <mergeCell ref="J117:L117"/>
    <mergeCell ref="J118:L118"/>
    <mergeCell ref="J119:L119"/>
    <mergeCell ref="J114:L114"/>
    <mergeCell ref="J115:L115"/>
    <mergeCell ref="J116:L116"/>
    <mergeCell ref="S112:U112"/>
    <mergeCell ref="G112:I112"/>
    <mergeCell ref="M112:O112"/>
    <mergeCell ref="S113:U113"/>
    <mergeCell ref="G113:I113"/>
    <mergeCell ref="M113:O113"/>
    <mergeCell ref="S110:U110"/>
    <mergeCell ref="G110:I110"/>
    <mergeCell ref="M110:O110"/>
    <mergeCell ref="S111:U111"/>
    <mergeCell ref="G111:I111"/>
    <mergeCell ref="M111:O111"/>
    <mergeCell ref="S108:U108"/>
    <mergeCell ref="G108:I108"/>
    <mergeCell ref="M108:O108"/>
    <mergeCell ref="S109:U109"/>
    <mergeCell ref="G109:I109"/>
    <mergeCell ref="M109:O109"/>
    <mergeCell ref="P108:R108"/>
    <mergeCell ref="P109:R109"/>
    <mergeCell ref="P110:R110"/>
    <mergeCell ref="P111:R111"/>
    <mergeCell ref="P112:R112"/>
    <mergeCell ref="P113:R113"/>
    <mergeCell ref="J112:L112"/>
    <mergeCell ref="J113:L113"/>
    <mergeCell ref="S106:U106"/>
    <mergeCell ref="G106:I106"/>
    <mergeCell ref="M106:O106"/>
    <mergeCell ref="S107:U107"/>
    <mergeCell ref="G107:I107"/>
    <mergeCell ref="M107:O107"/>
    <mergeCell ref="S104:U104"/>
    <mergeCell ref="G104:I104"/>
    <mergeCell ref="M104:O104"/>
    <mergeCell ref="S105:U105"/>
    <mergeCell ref="G105:I105"/>
    <mergeCell ref="M105:O105"/>
    <mergeCell ref="S102:U102"/>
    <mergeCell ref="G102:I102"/>
    <mergeCell ref="M102:O102"/>
    <mergeCell ref="S103:U103"/>
    <mergeCell ref="G103:I103"/>
    <mergeCell ref="M103:O103"/>
    <mergeCell ref="J102:L102"/>
    <mergeCell ref="P102:R102"/>
    <mergeCell ref="P103:R103"/>
    <mergeCell ref="P104:R104"/>
    <mergeCell ref="P105:R105"/>
    <mergeCell ref="P106:R106"/>
    <mergeCell ref="P107:R107"/>
    <mergeCell ref="J106:L106"/>
    <mergeCell ref="J105:L105"/>
    <mergeCell ref="J104:L104"/>
    <mergeCell ref="J103:L103"/>
    <mergeCell ref="S100:U100"/>
    <mergeCell ref="G100:I100"/>
    <mergeCell ref="M100:O100"/>
    <mergeCell ref="S101:U101"/>
    <mergeCell ref="G101:I101"/>
    <mergeCell ref="M101:O101"/>
    <mergeCell ref="S98:U98"/>
    <mergeCell ref="G98:I98"/>
    <mergeCell ref="M98:O98"/>
    <mergeCell ref="S99:U99"/>
    <mergeCell ref="G99:I99"/>
    <mergeCell ref="M99:O99"/>
    <mergeCell ref="S96:U96"/>
    <mergeCell ref="G96:I96"/>
    <mergeCell ref="M96:O96"/>
    <mergeCell ref="S97:U97"/>
    <mergeCell ref="G97:I97"/>
    <mergeCell ref="M97:O97"/>
    <mergeCell ref="J96:L96"/>
    <mergeCell ref="J97:L97"/>
    <mergeCell ref="J98:L98"/>
    <mergeCell ref="J99:L99"/>
    <mergeCell ref="J100:L100"/>
    <mergeCell ref="J101:L101"/>
    <mergeCell ref="P96:R96"/>
    <mergeCell ref="P97:R97"/>
    <mergeCell ref="P98:R98"/>
    <mergeCell ref="P99:R99"/>
    <mergeCell ref="P100:R100"/>
    <mergeCell ref="P101:R101"/>
    <mergeCell ref="S94:U94"/>
    <mergeCell ref="G94:I94"/>
    <mergeCell ref="M94:O94"/>
    <mergeCell ref="S95:U95"/>
    <mergeCell ref="G95:I95"/>
    <mergeCell ref="M95:O95"/>
    <mergeCell ref="S92:U92"/>
    <mergeCell ref="G92:I92"/>
    <mergeCell ref="M92:O92"/>
    <mergeCell ref="S93:U93"/>
    <mergeCell ref="G93:I93"/>
    <mergeCell ref="M93:O93"/>
    <mergeCell ref="S90:U90"/>
    <mergeCell ref="G90:I90"/>
    <mergeCell ref="M90:O90"/>
    <mergeCell ref="S91:U91"/>
    <mergeCell ref="G91:I91"/>
    <mergeCell ref="M91:O91"/>
    <mergeCell ref="J90:L90"/>
    <mergeCell ref="J91:L91"/>
    <mergeCell ref="J92:L92"/>
    <mergeCell ref="J93:L93"/>
    <mergeCell ref="J94:L94"/>
    <mergeCell ref="J95:L95"/>
    <mergeCell ref="P90:R90"/>
    <mergeCell ref="P91:R91"/>
    <mergeCell ref="P92:R92"/>
    <mergeCell ref="P93:R93"/>
    <mergeCell ref="P94:R94"/>
    <mergeCell ref="P95:R95"/>
    <mergeCell ref="S88:U88"/>
    <mergeCell ref="G88:I88"/>
    <mergeCell ref="M88:O88"/>
    <mergeCell ref="S89:U89"/>
    <mergeCell ref="G89:I89"/>
    <mergeCell ref="M89:O89"/>
    <mergeCell ref="S86:U86"/>
    <mergeCell ref="G86:I86"/>
    <mergeCell ref="M86:O86"/>
    <mergeCell ref="S87:U87"/>
    <mergeCell ref="G87:I87"/>
    <mergeCell ref="M87:O87"/>
    <mergeCell ref="S84:U84"/>
    <mergeCell ref="G84:I84"/>
    <mergeCell ref="M84:O84"/>
    <mergeCell ref="S85:U85"/>
    <mergeCell ref="G85:I85"/>
    <mergeCell ref="M85:O85"/>
    <mergeCell ref="J84:L84"/>
    <mergeCell ref="J85:L85"/>
    <mergeCell ref="J86:L86"/>
    <mergeCell ref="J87:L87"/>
    <mergeCell ref="J88:L88"/>
    <mergeCell ref="J89:L89"/>
    <mergeCell ref="P84:R84"/>
    <mergeCell ref="P85:R85"/>
    <mergeCell ref="P86:R86"/>
    <mergeCell ref="P87:R87"/>
    <mergeCell ref="P88:R88"/>
    <mergeCell ref="P89:R89"/>
    <mergeCell ref="S82:U82"/>
    <mergeCell ref="G82:I82"/>
    <mergeCell ref="M82:O82"/>
    <mergeCell ref="S83:U83"/>
    <mergeCell ref="G83:I83"/>
    <mergeCell ref="M83:O83"/>
    <mergeCell ref="S80:U80"/>
    <mergeCell ref="G80:I80"/>
    <mergeCell ref="M80:O80"/>
    <mergeCell ref="S81:U81"/>
    <mergeCell ref="G81:I81"/>
    <mergeCell ref="M81:O81"/>
    <mergeCell ref="S78:U78"/>
    <mergeCell ref="G78:I78"/>
    <mergeCell ref="M78:O78"/>
    <mergeCell ref="S79:U79"/>
    <mergeCell ref="G79:I79"/>
    <mergeCell ref="M79:O79"/>
    <mergeCell ref="P78:R78"/>
    <mergeCell ref="P79:R79"/>
    <mergeCell ref="P80:R80"/>
    <mergeCell ref="P81:R81"/>
    <mergeCell ref="P82:R82"/>
    <mergeCell ref="P83:R83"/>
    <mergeCell ref="J83:L83"/>
    <mergeCell ref="J80:L80"/>
    <mergeCell ref="J82:L82"/>
    <mergeCell ref="J78:L78"/>
    <mergeCell ref="J79:L79"/>
    <mergeCell ref="J81:L81"/>
    <mergeCell ref="S76:U76"/>
    <mergeCell ref="G76:I76"/>
    <mergeCell ref="M76:O76"/>
    <mergeCell ref="S77:U77"/>
    <mergeCell ref="G77:I77"/>
    <mergeCell ref="M77:O77"/>
    <mergeCell ref="S74:U74"/>
    <mergeCell ref="G74:I74"/>
    <mergeCell ref="M74:O74"/>
    <mergeCell ref="S75:U75"/>
    <mergeCell ref="G75:I75"/>
    <mergeCell ref="M75:O75"/>
    <mergeCell ref="S72:U72"/>
    <mergeCell ref="G72:I72"/>
    <mergeCell ref="M72:O72"/>
    <mergeCell ref="S73:U73"/>
    <mergeCell ref="G73:I73"/>
    <mergeCell ref="M73:O73"/>
    <mergeCell ref="P72:R72"/>
    <mergeCell ref="P73:R73"/>
    <mergeCell ref="P74:R74"/>
    <mergeCell ref="P75:R75"/>
    <mergeCell ref="P76:R76"/>
    <mergeCell ref="P77:R77"/>
    <mergeCell ref="J76:L76"/>
    <mergeCell ref="J77:L77"/>
    <mergeCell ref="J73:L73"/>
    <mergeCell ref="J72:L72"/>
    <mergeCell ref="J74:L74"/>
    <mergeCell ref="J75:L75"/>
    <mergeCell ref="S70:U70"/>
    <mergeCell ref="G70:I70"/>
    <mergeCell ref="M70:O70"/>
    <mergeCell ref="S71:U71"/>
    <mergeCell ref="G71:I71"/>
    <mergeCell ref="M71:O71"/>
    <mergeCell ref="S68:U68"/>
    <mergeCell ref="G68:I68"/>
    <mergeCell ref="M68:O68"/>
    <mergeCell ref="S69:U69"/>
    <mergeCell ref="G69:I69"/>
    <mergeCell ref="M69:O69"/>
    <mergeCell ref="S66:U66"/>
    <mergeCell ref="G66:I66"/>
    <mergeCell ref="M66:O66"/>
    <mergeCell ref="S67:U67"/>
    <mergeCell ref="G67:I67"/>
    <mergeCell ref="M67:O67"/>
    <mergeCell ref="P66:R66"/>
    <mergeCell ref="P67:R67"/>
    <mergeCell ref="P68:R68"/>
    <mergeCell ref="P69:R69"/>
    <mergeCell ref="P70:R70"/>
    <mergeCell ref="P71:R71"/>
    <mergeCell ref="J71:L71"/>
    <mergeCell ref="J68:L68"/>
    <mergeCell ref="J67:L67"/>
    <mergeCell ref="J69:L69"/>
    <mergeCell ref="J70:L70"/>
    <mergeCell ref="J66:L66"/>
    <mergeCell ref="S64:U64"/>
    <mergeCell ref="G64:I64"/>
    <mergeCell ref="M64:O64"/>
    <mergeCell ref="S65:U65"/>
    <mergeCell ref="G65:I65"/>
    <mergeCell ref="M65:O65"/>
    <mergeCell ref="S62:U62"/>
    <mergeCell ref="G62:I62"/>
    <mergeCell ref="M62:O62"/>
    <mergeCell ref="S63:U63"/>
    <mergeCell ref="G63:I63"/>
    <mergeCell ref="M63:O63"/>
    <mergeCell ref="S60:U60"/>
    <mergeCell ref="G60:I60"/>
    <mergeCell ref="M60:O60"/>
    <mergeCell ref="S61:U61"/>
    <mergeCell ref="G61:I61"/>
    <mergeCell ref="M61:O61"/>
    <mergeCell ref="P60:R60"/>
    <mergeCell ref="P61:R61"/>
    <mergeCell ref="P62:R62"/>
    <mergeCell ref="P63:R63"/>
    <mergeCell ref="P64:R64"/>
    <mergeCell ref="P65:R65"/>
    <mergeCell ref="J60:L60"/>
    <mergeCell ref="J61:L61"/>
    <mergeCell ref="J65:L65"/>
    <mergeCell ref="J62:L62"/>
    <mergeCell ref="J64:L64"/>
    <mergeCell ref="S58:U58"/>
    <mergeCell ref="G58:I58"/>
    <mergeCell ref="M58:O58"/>
    <mergeCell ref="S59:U59"/>
    <mergeCell ref="G59:I59"/>
    <mergeCell ref="M59:O59"/>
    <mergeCell ref="S56:U56"/>
    <mergeCell ref="G56:I56"/>
    <mergeCell ref="M56:O56"/>
    <mergeCell ref="S57:U57"/>
    <mergeCell ref="G57:I57"/>
    <mergeCell ref="M57:O57"/>
    <mergeCell ref="S54:U54"/>
    <mergeCell ref="G54:I54"/>
    <mergeCell ref="M54:O54"/>
    <mergeCell ref="S55:U55"/>
    <mergeCell ref="G55:I55"/>
    <mergeCell ref="M55:O55"/>
    <mergeCell ref="P54:R54"/>
    <mergeCell ref="P55:R55"/>
    <mergeCell ref="P56:R56"/>
    <mergeCell ref="P57:R57"/>
    <mergeCell ref="P58:R58"/>
    <mergeCell ref="P59:R59"/>
    <mergeCell ref="J58:L58"/>
    <mergeCell ref="J56:L56"/>
    <mergeCell ref="J57:L57"/>
    <mergeCell ref="J59:L59"/>
    <mergeCell ref="S52:U52"/>
    <mergeCell ref="G52:I52"/>
    <mergeCell ref="M52:O52"/>
    <mergeCell ref="S53:U53"/>
    <mergeCell ref="G53:I53"/>
    <mergeCell ref="M53:O53"/>
    <mergeCell ref="S50:U50"/>
    <mergeCell ref="G50:I50"/>
    <mergeCell ref="M50:O50"/>
    <mergeCell ref="S51:U51"/>
    <mergeCell ref="G51:I51"/>
    <mergeCell ref="M51:O51"/>
    <mergeCell ref="S48:U48"/>
    <mergeCell ref="G48:I48"/>
    <mergeCell ref="M48:O48"/>
    <mergeCell ref="S49:U49"/>
    <mergeCell ref="G49:I49"/>
    <mergeCell ref="M49:O49"/>
    <mergeCell ref="P48:R48"/>
    <mergeCell ref="P49:R49"/>
    <mergeCell ref="P50:R50"/>
    <mergeCell ref="P51:R51"/>
    <mergeCell ref="P52:R52"/>
    <mergeCell ref="P53:R53"/>
    <mergeCell ref="J48:L48"/>
    <mergeCell ref="J50:L50"/>
    <mergeCell ref="J52:L52"/>
    <mergeCell ref="J51:L51"/>
    <mergeCell ref="S46:U46"/>
    <mergeCell ref="G46:I46"/>
    <mergeCell ref="M46:O46"/>
    <mergeCell ref="S47:U47"/>
    <mergeCell ref="G47:I47"/>
    <mergeCell ref="M47:O47"/>
    <mergeCell ref="S44:U44"/>
    <mergeCell ref="G44:I44"/>
    <mergeCell ref="M44:O44"/>
    <mergeCell ref="S45:U45"/>
    <mergeCell ref="G45:I45"/>
    <mergeCell ref="M45:O45"/>
    <mergeCell ref="S42:U42"/>
    <mergeCell ref="G42:I42"/>
    <mergeCell ref="M42:O42"/>
    <mergeCell ref="S43:U43"/>
    <mergeCell ref="G43:I43"/>
    <mergeCell ref="M43:O43"/>
    <mergeCell ref="P42:R42"/>
    <mergeCell ref="P43:R43"/>
    <mergeCell ref="P44:R44"/>
    <mergeCell ref="P45:R45"/>
    <mergeCell ref="P46:R46"/>
    <mergeCell ref="P47:R47"/>
    <mergeCell ref="J46:L46"/>
    <mergeCell ref="J47:L47"/>
    <mergeCell ref="J45:L45"/>
    <mergeCell ref="S40:U40"/>
    <mergeCell ref="G40:I40"/>
    <mergeCell ref="M40:O40"/>
    <mergeCell ref="S41:U41"/>
    <mergeCell ref="G41:I41"/>
    <mergeCell ref="M41:O41"/>
    <mergeCell ref="S38:U38"/>
    <mergeCell ref="G38:I38"/>
    <mergeCell ref="M38:O38"/>
    <mergeCell ref="S39:U39"/>
    <mergeCell ref="G39:I39"/>
    <mergeCell ref="M39:O39"/>
    <mergeCell ref="S36:U36"/>
    <mergeCell ref="G36:I36"/>
    <mergeCell ref="M36:O36"/>
    <mergeCell ref="S37:U37"/>
    <mergeCell ref="G37:I37"/>
    <mergeCell ref="M37:O37"/>
    <mergeCell ref="P36:R36"/>
    <mergeCell ref="P37:R37"/>
    <mergeCell ref="P38:R38"/>
    <mergeCell ref="P39:R39"/>
    <mergeCell ref="P40:R40"/>
    <mergeCell ref="P41:R41"/>
    <mergeCell ref="G33:I33"/>
    <mergeCell ref="M33:O33"/>
    <mergeCell ref="G34:I34"/>
    <mergeCell ref="M34:O34"/>
    <mergeCell ref="G35:I35"/>
    <mergeCell ref="M35:O35"/>
    <mergeCell ref="G30:I30"/>
    <mergeCell ref="M30:O30"/>
    <mergeCell ref="G31:I31"/>
    <mergeCell ref="M31:O31"/>
    <mergeCell ref="G32:I32"/>
    <mergeCell ref="M32:O32"/>
    <mergeCell ref="G27:I27"/>
    <mergeCell ref="M27:O27"/>
    <mergeCell ref="G28:I28"/>
    <mergeCell ref="M28:O28"/>
    <mergeCell ref="G29:I29"/>
    <mergeCell ref="M29:O29"/>
    <mergeCell ref="J29:L29"/>
    <mergeCell ref="J30:L30"/>
    <mergeCell ref="J31:L31"/>
    <mergeCell ref="J32:L32"/>
    <mergeCell ref="J33:L33"/>
    <mergeCell ref="J34:L34"/>
    <mergeCell ref="J27:L27"/>
    <mergeCell ref="J28:L28"/>
    <mergeCell ref="G14:I14"/>
    <mergeCell ref="M14:O14"/>
    <mergeCell ref="G9:I9"/>
    <mergeCell ref="M9:O9"/>
    <mergeCell ref="G10:I10"/>
    <mergeCell ref="M10:O10"/>
    <mergeCell ref="G11:I11"/>
    <mergeCell ref="M11:O11"/>
    <mergeCell ref="G24:I24"/>
    <mergeCell ref="M24:O24"/>
    <mergeCell ref="G25:I25"/>
    <mergeCell ref="M25:O25"/>
    <mergeCell ref="G26:I26"/>
    <mergeCell ref="M26:O26"/>
    <mergeCell ref="G21:I21"/>
    <mergeCell ref="M21:O21"/>
    <mergeCell ref="G22:I22"/>
    <mergeCell ref="M22:O22"/>
    <mergeCell ref="G23:I23"/>
    <mergeCell ref="M23:O23"/>
    <mergeCell ref="G18:I18"/>
    <mergeCell ref="M18:O18"/>
    <mergeCell ref="G19:I19"/>
    <mergeCell ref="M19:O19"/>
    <mergeCell ref="G20:I20"/>
    <mergeCell ref="M20:O20"/>
    <mergeCell ref="J23:L23"/>
    <mergeCell ref="J24:L24"/>
    <mergeCell ref="J25:L25"/>
    <mergeCell ref="J26:L26"/>
    <mergeCell ref="J17:L17"/>
    <mergeCell ref="J18:L18"/>
    <mergeCell ref="P150:R150"/>
    <mergeCell ref="P151:R151"/>
    <mergeCell ref="P152:R152"/>
    <mergeCell ref="P3:R3"/>
    <mergeCell ref="G3:I3"/>
    <mergeCell ref="M3:O3"/>
    <mergeCell ref="G4:I4"/>
    <mergeCell ref="M4:O4"/>
    <mergeCell ref="G5:I5"/>
    <mergeCell ref="M5:O5"/>
    <mergeCell ref="P144:R144"/>
    <mergeCell ref="P145:R145"/>
    <mergeCell ref="P146:R146"/>
    <mergeCell ref="P147:R147"/>
    <mergeCell ref="P148:R148"/>
    <mergeCell ref="P149:R149"/>
    <mergeCell ref="P138:R138"/>
    <mergeCell ref="P139:R139"/>
    <mergeCell ref="P140:R140"/>
    <mergeCell ref="P141:R141"/>
    <mergeCell ref="P142:R142"/>
    <mergeCell ref="P143:R143"/>
    <mergeCell ref="P132:R132"/>
    <mergeCell ref="P133:R133"/>
    <mergeCell ref="P134:R134"/>
    <mergeCell ref="P135:R135"/>
    <mergeCell ref="G15:I15"/>
    <mergeCell ref="M15:O15"/>
    <mergeCell ref="G16:I16"/>
    <mergeCell ref="M16:O16"/>
    <mergeCell ref="G17:I17"/>
    <mergeCell ref="M17:O17"/>
    <mergeCell ref="P2:R2"/>
    <mergeCell ref="J63:L63"/>
    <mergeCell ref="J49:L49"/>
    <mergeCell ref="J53:L53"/>
    <mergeCell ref="J54:L54"/>
    <mergeCell ref="J55:L55"/>
    <mergeCell ref="J42:L42"/>
    <mergeCell ref="J43:L43"/>
    <mergeCell ref="J44:L44"/>
    <mergeCell ref="J39:L39"/>
    <mergeCell ref="J40:L40"/>
    <mergeCell ref="J41:L41"/>
    <mergeCell ref="A151:C151"/>
    <mergeCell ref="D151:F151"/>
    <mergeCell ref="D136:F136"/>
    <mergeCell ref="A137:C137"/>
    <mergeCell ref="D137:F137"/>
    <mergeCell ref="A138:C138"/>
    <mergeCell ref="D138:F138"/>
    <mergeCell ref="A133:C133"/>
    <mergeCell ref="D133:F133"/>
    <mergeCell ref="A134:C134"/>
    <mergeCell ref="D134:F134"/>
    <mergeCell ref="A135:C135"/>
    <mergeCell ref="D135:F135"/>
    <mergeCell ref="A130:C130"/>
    <mergeCell ref="D130:F130"/>
    <mergeCell ref="A131:C131"/>
    <mergeCell ref="D131:F131"/>
    <mergeCell ref="A132:C132"/>
    <mergeCell ref="D132:F132"/>
    <mergeCell ref="A127:C127"/>
    <mergeCell ref="A152:C152"/>
    <mergeCell ref="D152:F152"/>
    <mergeCell ref="G2:I2"/>
    <mergeCell ref="M2:O2"/>
    <mergeCell ref="J36:L36"/>
    <mergeCell ref="J37:L37"/>
    <mergeCell ref="J38:L38"/>
    <mergeCell ref="A148:C148"/>
    <mergeCell ref="D148:F148"/>
    <mergeCell ref="A149:C149"/>
    <mergeCell ref="D149:F149"/>
    <mergeCell ref="A150:C150"/>
    <mergeCell ref="D150:F150"/>
    <mergeCell ref="A145:C145"/>
    <mergeCell ref="D145:F145"/>
    <mergeCell ref="A146:C146"/>
    <mergeCell ref="D146:F146"/>
    <mergeCell ref="A147:C147"/>
    <mergeCell ref="D147:F147"/>
    <mergeCell ref="A142:C142"/>
    <mergeCell ref="D142:F142"/>
    <mergeCell ref="A143:C143"/>
    <mergeCell ref="D143:F143"/>
    <mergeCell ref="A144:C144"/>
    <mergeCell ref="D144:F144"/>
    <mergeCell ref="A139:C139"/>
    <mergeCell ref="D139:F139"/>
    <mergeCell ref="A140:C140"/>
    <mergeCell ref="D140:F140"/>
    <mergeCell ref="A141:C141"/>
    <mergeCell ref="D141:F141"/>
    <mergeCell ref="A136:C136"/>
    <mergeCell ref="D127:F127"/>
    <mergeCell ref="A128:C128"/>
    <mergeCell ref="D128:F128"/>
    <mergeCell ref="A129:C129"/>
    <mergeCell ref="D129:F129"/>
    <mergeCell ref="A124:C124"/>
    <mergeCell ref="D124:F124"/>
    <mergeCell ref="A125:C125"/>
    <mergeCell ref="D125:F125"/>
    <mergeCell ref="A126:C126"/>
    <mergeCell ref="D126:F126"/>
    <mergeCell ref="A121:C121"/>
    <mergeCell ref="D121:F121"/>
    <mergeCell ref="A122:C122"/>
    <mergeCell ref="D122:F122"/>
    <mergeCell ref="A123:C123"/>
    <mergeCell ref="D123:F123"/>
    <mergeCell ref="A118:C118"/>
    <mergeCell ref="D118:F118"/>
    <mergeCell ref="A119:C119"/>
    <mergeCell ref="D119:F119"/>
    <mergeCell ref="A120:C120"/>
    <mergeCell ref="D120:F120"/>
    <mergeCell ref="A115:C115"/>
    <mergeCell ref="D115:F115"/>
    <mergeCell ref="A116:C116"/>
    <mergeCell ref="D116:F116"/>
    <mergeCell ref="A117:C117"/>
    <mergeCell ref="D117:F117"/>
    <mergeCell ref="A112:C112"/>
    <mergeCell ref="D112:F112"/>
    <mergeCell ref="A113:C113"/>
    <mergeCell ref="D113:F113"/>
    <mergeCell ref="A114:C114"/>
    <mergeCell ref="D114:F114"/>
    <mergeCell ref="A109:C109"/>
    <mergeCell ref="D109:F109"/>
    <mergeCell ref="A110:C110"/>
    <mergeCell ref="D110:F110"/>
    <mergeCell ref="A111:C111"/>
    <mergeCell ref="D111:F111"/>
    <mergeCell ref="A106:C106"/>
    <mergeCell ref="D106:F106"/>
    <mergeCell ref="A107:C107"/>
    <mergeCell ref="D107:F107"/>
    <mergeCell ref="A108:C108"/>
    <mergeCell ref="D108:F108"/>
    <mergeCell ref="A103:C103"/>
    <mergeCell ref="D103:F103"/>
    <mergeCell ref="A104:C104"/>
    <mergeCell ref="D104:F104"/>
    <mergeCell ref="A105:C105"/>
    <mergeCell ref="D105:F105"/>
    <mergeCell ref="A100:C100"/>
    <mergeCell ref="D100:F100"/>
    <mergeCell ref="A101:C101"/>
    <mergeCell ref="D101:F101"/>
    <mergeCell ref="A102:C102"/>
    <mergeCell ref="D102:F102"/>
    <mergeCell ref="A97:C97"/>
    <mergeCell ref="D97:F97"/>
    <mergeCell ref="A98:C98"/>
    <mergeCell ref="D98:F98"/>
    <mergeCell ref="A99:C99"/>
    <mergeCell ref="D99:F99"/>
    <mergeCell ref="D45:F45"/>
    <mergeCell ref="A94:C94"/>
    <mergeCell ref="D94:F94"/>
    <mergeCell ref="A95:C95"/>
    <mergeCell ref="D95:F95"/>
    <mergeCell ref="A96:C96"/>
    <mergeCell ref="D96:F96"/>
    <mergeCell ref="A93:C93"/>
    <mergeCell ref="D93:F93"/>
    <mergeCell ref="A78:C78"/>
    <mergeCell ref="D78:F78"/>
    <mergeCell ref="A79:C79"/>
    <mergeCell ref="D79:F79"/>
    <mergeCell ref="A80:C80"/>
    <mergeCell ref="D80:F80"/>
    <mergeCell ref="A75:C75"/>
    <mergeCell ref="D75:F75"/>
    <mergeCell ref="A76:C76"/>
    <mergeCell ref="D76:F76"/>
    <mergeCell ref="A77:C77"/>
    <mergeCell ref="D24:F24"/>
    <mergeCell ref="A27:C27"/>
    <mergeCell ref="A26:C26"/>
    <mergeCell ref="A25:C25"/>
    <mergeCell ref="A24:C24"/>
    <mergeCell ref="A90:C90"/>
    <mergeCell ref="D90:F90"/>
    <mergeCell ref="A91:C91"/>
    <mergeCell ref="D91:F91"/>
    <mergeCell ref="A92:C92"/>
    <mergeCell ref="D92:F92"/>
    <mergeCell ref="A87:C87"/>
    <mergeCell ref="D87:F87"/>
    <mergeCell ref="A88:C88"/>
    <mergeCell ref="D88:F88"/>
    <mergeCell ref="A89:C89"/>
    <mergeCell ref="D89:F89"/>
    <mergeCell ref="A84:C84"/>
    <mergeCell ref="D84:F84"/>
    <mergeCell ref="A85:C85"/>
    <mergeCell ref="D85:F85"/>
    <mergeCell ref="A86:C86"/>
    <mergeCell ref="D86:F86"/>
    <mergeCell ref="A81:C81"/>
    <mergeCell ref="D81:F81"/>
    <mergeCell ref="A82:C82"/>
    <mergeCell ref="D82:F82"/>
    <mergeCell ref="A83:C83"/>
    <mergeCell ref="D83:F83"/>
    <mergeCell ref="D77:F77"/>
    <mergeCell ref="A72:C72"/>
    <mergeCell ref="D72:F72"/>
    <mergeCell ref="A73:C73"/>
    <mergeCell ref="D73:F73"/>
    <mergeCell ref="A74:C74"/>
    <mergeCell ref="D74:F74"/>
    <mergeCell ref="A69:C69"/>
    <mergeCell ref="D69:F69"/>
    <mergeCell ref="A70:C70"/>
    <mergeCell ref="D70:F70"/>
    <mergeCell ref="A71:C71"/>
    <mergeCell ref="D71:F71"/>
    <mergeCell ref="S2:U2"/>
    <mergeCell ref="A67:C67"/>
    <mergeCell ref="D67:F67"/>
    <mergeCell ref="A68:C68"/>
    <mergeCell ref="D68:F68"/>
    <mergeCell ref="A22:C22"/>
    <mergeCell ref="D22:F22"/>
    <mergeCell ref="D31:F31"/>
    <mergeCell ref="D66:F66"/>
    <mergeCell ref="D8:F8"/>
    <mergeCell ref="D7:F7"/>
    <mergeCell ref="D6:F6"/>
    <mergeCell ref="D5:F5"/>
    <mergeCell ref="A8:C8"/>
    <mergeCell ref="A7:C7"/>
    <mergeCell ref="A6:C6"/>
    <mergeCell ref="A5:C5"/>
    <mergeCell ref="A45:C45"/>
    <mergeCell ref="D60:F60"/>
    <mergeCell ref="D61:F61"/>
    <mergeCell ref="D62:F62"/>
    <mergeCell ref="D63:F63"/>
    <mergeCell ref="D64:F64"/>
    <mergeCell ref="D65:F65"/>
    <mergeCell ref="D52:F52"/>
    <mergeCell ref="D53:F53"/>
    <mergeCell ref="D56:F56"/>
    <mergeCell ref="D57:F57"/>
    <mergeCell ref="D58:F58"/>
    <mergeCell ref="D59:F59"/>
    <mergeCell ref="A65:C65"/>
    <mergeCell ref="A66:C66"/>
    <mergeCell ref="D54:F54"/>
    <mergeCell ref="D55:F55"/>
    <mergeCell ref="D47:F47"/>
    <mergeCell ref="D46:F46"/>
    <mergeCell ref="D48:F48"/>
    <mergeCell ref="D49:F49"/>
    <mergeCell ref="D50:F50"/>
    <mergeCell ref="D51:F51"/>
    <mergeCell ref="A59:C59"/>
    <mergeCell ref="A60:C60"/>
    <mergeCell ref="A61:C61"/>
    <mergeCell ref="A62:C62"/>
    <mergeCell ref="A63:C63"/>
    <mergeCell ref="A64:C64"/>
    <mergeCell ref="A53:C53"/>
    <mergeCell ref="A54:C54"/>
    <mergeCell ref="A55:C55"/>
    <mergeCell ref="A56:C56"/>
    <mergeCell ref="A57:C57"/>
    <mergeCell ref="A58:C58"/>
    <mergeCell ref="A49:C49"/>
    <mergeCell ref="A50:C50"/>
    <mergeCell ref="S15:U15"/>
    <mergeCell ref="S16:U16"/>
    <mergeCell ref="S17:U17"/>
    <mergeCell ref="S18:U18"/>
    <mergeCell ref="S19:U19"/>
    <mergeCell ref="S20:U20"/>
    <mergeCell ref="A51:C51"/>
    <mergeCell ref="A52:C52"/>
    <mergeCell ref="A47:C47"/>
    <mergeCell ref="A48:C48"/>
    <mergeCell ref="D41:F41"/>
    <mergeCell ref="D42:F42"/>
    <mergeCell ref="D43:F43"/>
    <mergeCell ref="D44:F44"/>
    <mergeCell ref="A44:C44"/>
    <mergeCell ref="A46:C46"/>
    <mergeCell ref="A34:C34"/>
    <mergeCell ref="A33:C33"/>
    <mergeCell ref="D32:F32"/>
    <mergeCell ref="D33:F33"/>
    <mergeCell ref="D34:F34"/>
    <mergeCell ref="D38:F38"/>
    <mergeCell ref="D39:F39"/>
    <mergeCell ref="D40:F40"/>
    <mergeCell ref="A38:C38"/>
    <mergeCell ref="A39:C39"/>
    <mergeCell ref="A40:C40"/>
    <mergeCell ref="A41:C41"/>
    <mergeCell ref="A42:C42"/>
    <mergeCell ref="A43:C43"/>
    <mergeCell ref="D36:F36"/>
    <mergeCell ref="D37:F37"/>
    <mergeCell ref="A36:C36"/>
    <mergeCell ref="A37:C37"/>
    <mergeCell ref="A4:C4"/>
    <mergeCell ref="A28:C28"/>
    <mergeCell ref="A29:C29"/>
    <mergeCell ref="A30:C30"/>
    <mergeCell ref="A32:C32"/>
    <mergeCell ref="A31:C31"/>
    <mergeCell ref="A21:C21"/>
    <mergeCell ref="A23:C23"/>
    <mergeCell ref="A15:C15"/>
    <mergeCell ref="A16:C16"/>
    <mergeCell ref="A17:C17"/>
    <mergeCell ref="A18:C18"/>
    <mergeCell ref="A19:C19"/>
    <mergeCell ref="A20:C20"/>
    <mergeCell ref="A9:C9"/>
    <mergeCell ref="A10:C10"/>
    <mergeCell ref="A11:C11"/>
    <mergeCell ref="D35:F35"/>
    <mergeCell ref="D27:F27"/>
    <mergeCell ref="D26:F26"/>
    <mergeCell ref="D25:F25"/>
    <mergeCell ref="S9:U9"/>
    <mergeCell ref="S10:U10"/>
    <mergeCell ref="S11:U11"/>
    <mergeCell ref="S12:U12"/>
    <mergeCell ref="S13:U13"/>
    <mergeCell ref="S14:U14"/>
    <mergeCell ref="S4:U4"/>
    <mergeCell ref="S5:U5"/>
    <mergeCell ref="S6:U6"/>
    <mergeCell ref="S7:U7"/>
    <mergeCell ref="S8:U8"/>
    <mergeCell ref="S3:U3"/>
    <mergeCell ref="A35:C35"/>
    <mergeCell ref="S33:U33"/>
    <mergeCell ref="S34:U34"/>
    <mergeCell ref="S35:U35"/>
    <mergeCell ref="S27:U27"/>
    <mergeCell ref="S28:U28"/>
    <mergeCell ref="S29:U29"/>
    <mergeCell ref="S30:U30"/>
    <mergeCell ref="S31:U31"/>
    <mergeCell ref="S32:U32"/>
    <mergeCell ref="S21:U21"/>
    <mergeCell ref="S22:U22"/>
    <mergeCell ref="S23:U23"/>
    <mergeCell ref="S24:U24"/>
    <mergeCell ref="S25:U25"/>
    <mergeCell ref="S26:U26"/>
    <mergeCell ref="G7:I7"/>
    <mergeCell ref="M7:O7"/>
    <mergeCell ref="G8:I8"/>
    <mergeCell ref="M8:O8"/>
    <mergeCell ref="A12:C12"/>
    <mergeCell ref="A13:C13"/>
    <mergeCell ref="A14:C14"/>
    <mergeCell ref="P31:R31"/>
    <mergeCell ref="P32:R32"/>
    <mergeCell ref="P33:R33"/>
    <mergeCell ref="P34:R34"/>
    <mergeCell ref="P35:R35"/>
    <mergeCell ref="P25:R25"/>
    <mergeCell ref="P26:R26"/>
    <mergeCell ref="P27:R27"/>
    <mergeCell ref="P28:R28"/>
    <mergeCell ref="P29:R29"/>
    <mergeCell ref="P30:R30"/>
    <mergeCell ref="P19:R19"/>
    <mergeCell ref="P20:R20"/>
    <mergeCell ref="P21:R21"/>
    <mergeCell ref="P22:R22"/>
    <mergeCell ref="P23:R23"/>
    <mergeCell ref="P24:R24"/>
    <mergeCell ref="P13:R13"/>
    <mergeCell ref="P14:R14"/>
    <mergeCell ref="P15:R15"/>
    <mergeCell ref="P16:R16"/>
    <mergeCell ref="P17:R17"/>
    <mergeCell ref="P18:R18"/>
    <mergeCell ref="J35:L35"/>
    <mergeCell ref="J16:L16"/>
    <mergeCell ref="P122:R122"/>
    <mergeCell ref="A2:C2"/>
    <mergeCell ref="D2:F2"/>
    <mergeCell ref="J2:L2"/>
    <mergeCell ref="A3:C3"/>
    <mergeCell ref="J4:L4"/>
    <mergeCell ref="J5:L5"/>
    <mergeCell ref="J6:L6"/>
    <mergeCell ref="J7:L7"/>
    <mergeCell ref="J8:L8"/>
    <mergeCell ref="J9:L9"/>
    <mergeCell ref="J10:L10"/>
    <mergeCell ref="D28:F28"/>
    <mergeCell ref="D29:F29"/>
    <mergeCell ref="D30:F30"/>
    <mergeCell ref="D21:F21"/>
    <mergeCell ref="D23:F23"/>
    <mergeCell ref="D15:F15"/>
    <mergeCell ref="J19:L19"/>
    <mergeCell ref="J20:L20"/>
    <mergeCell ref="J21:L21"/>
    <mergeCell ref="J22:L22"/>
    <mergeCell ref="D20:F20"/>
    <mergeCell ref="D9:F9"/>
    <mergeCell ref="D10:F10"/>
    <mergeCell ref="D11:F11"/>
    <mergeCell ref="D12:F12"/>
    <mergeCell ref="D13:F13"/>
    <mergeCell ref="D14:F14"/>
    <mergeCell ref="D4:F4"/>
    <mergeCell ref="P4:R4"/>
    <mergeCell ref="P5:R5"/>
    <mergeCell ref="D16:F16"/>
    <mergeCell ref="D17:F17"/>
    <mergeCell ref="D18:F18"/>
    <mergeCell ref="D19:F19"/>
    <mergeCell ref="G12:I12"/>
    <mergeCell ref="M12:O12"/>
    <mergeCell ref="G13:I13"/>
    <mergeCell ref="M13:O13"/>
    <mergeCell ref="W9:AB9"/>
    <mergeCell ref="W10:AB10"/>
    <mergeCell ref="W11:AB11"/>
    <mergeCell ref="W12:AB12"/>
    <mergeCell ref="W13:AB13"/>
    <mergeCell ref="W14:AB14"/>
    <mergeCell ref="W15:AB15"/>
    <mergeCell ref="W8:AB8"/>
    <mergeCell ref="D3:F3"/>
    <mergeCell ref="J3:L3"/>
    <mergeCell ref="P6:R6"/>
    <mergeCell ref="P7:R7"/>
    <mergeCell ref="P8:R8"/>
    <mergeCell ref="P9:R9"/>
    <mergeCell ref="P10:R10"/>
    <mergeCell ref="P11:R11"/>
    <mergeCell ref="P12:R12"/>
    <mergeCell ref="J11:L11"/>
    <mergeCell ref="J12:L12"/>
    <mergeCell ref="J13:L13"/>
    <mergeCell ref="J14:L14"/>
    <mergeCell ref="J15:L15"/>
    <mergeCell ref="G6:I6"/>
    <mergeCell ref="M6:O6"/>
  </mergeCells>
  <conditionalFormatting sqref="J3:L152">
    <cfRule type="cellIs" dxfId="2" priority="2" operator="equal">
      <formula>"MISSING"</formula>
    </cfRule>
    <cfRule type="cellIs" dxfId="1" priority="3" operator="equal">
      <formula>"SHOWN"</formula>
    </cfRule>
  </conditionalFormatting>
  <conditionalFormatting sqref="A3:C152">
    <cfRule type="duplicateValues" dxfId="0" priority="1"/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Updated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eSpark</dc:creator>
  <cp:lastModifiedBy>MUHAMMAD WAQAR</cp:lastModifiedBy>
  <dcterms:created xsi:type="dcterms:W3CDTF">2023-12-27T06:47:57Z</dcterms:created>
  <dcterms:modified xsi:type="dcterms:W3CDTF">2023-12-28T19:24:03Z</dcterms:modified>
</cp:coreProperties>
</file>