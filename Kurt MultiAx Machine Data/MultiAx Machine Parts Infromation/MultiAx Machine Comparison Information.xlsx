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Waqar\Documents\GitHub\kurtshah-inventorapp\Kurt MultiAx Machine Data\MultiAx Machine Parts Infromation\"/>
    </mc:Choice>
  </mc:AlternateContent>
  <xr:revisionPtr revIDLastSave="0" documentId="13_ncr:1_{40D85140-C712-462C-AB49-378B310CABB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Updated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<sst xmlns="http://schemas.openxmlformats.org/spreadsheetml/2006/main" count="2067" uniqueCount="244">
  <si>
    <t>Part in (5922 model parts xls)</t>
  </si>
  <si>
    <t>Part in (Common parts xls)</t>
  </si>
  <si>
    <t>NE-0003-030-000</t>
  </si>
  <si>
    <t>Description</t>
  </si>
  <si>
    <t>Y Axis</t>
  </si>
  <si>
    <t>Z Axis</t>
  </si>
  <si>
    <t>X Bridge</t>
  </si>
  <si>
    <t>Spindle</t>
  </si>
  <si>
    <t>Tool Change</t>
  </si>
  <si>
    <t>Fixture</t>
  </si>
  <si>
    <t>Base</t>
  </si>
  <si>
    <t>NE-0003-040-000</t>
  </si>
  <si>
    <t>NE-0003-020-000</t>
  </si>
  <si>
    <t>NE-0003-050-000</t>
  </si>
  <si>
    <t>NE-0003-060-000</t>
  </si>
  <si>
    <t>NE-0003-080-000</t>
  </si>
  <si>
    <t>NE-0003-010-000</t>
  </si>
  <si>
    <t>NE-0003-010-004</t>
  </si>
  <si>
    <t>MBL-R1605-704-31-4380-30</t>
  </si>
  <si>
    <t>NE-0003-010-002</t>
  </si>
  <si>
    <t>EMS-350-125-150</t>
  </si>
  <si>
    <t>EMS-3125-34PZ</t>
  </si>
  <si>
    <t>M10 OVERTRAVEL BUMPER</t>
  </si>
  <si>
    <t>GEAR RACK</t>
  </si>
  <si>
    <t>30MM RAIL</t>
  </si>
  <si>
    <t>BUMPER MOUNT</t>
  </si>
  <si>
    <t>LEVELING PAD</t>
  </si>
  <si>
    <t>LIMIT SWITCH CAM 90MM</t>
  </si>
  <si>
    <t>CAM RAIL</t>
  </si>
  <si>
    <t>CABLE TRACK</t>
  </si>
  <si>
    <t>CABLE TRAY</t>
  </si>
  <si>
    <t>MOUNT BRACKET (NOT SHOWN)</t>
  </si>
  <si>
    <t>NE-0003-020-001</t>
  </si>
  <si>
    <t>MBL-R1605-704-31-2300-30</t>
  </si>
  <si>
    <t>NE-0003-022-000</t>
  </si>
  <si>
    <t>MULTIAX_ELEC-CABINET</t>
  </si>
  <si>
    <t>-</t>
  </si>
  <si>
    <t>2 POSITION CAM RAIL</t>
  </si>
  <si>
    <t>X BRIDGE</t>
  </si>
  <si>
    <t>RIGHT BRIDGE RISER</t>
  </si>
  <si>
    <t>LIMIT SWITCH CAM</t>
  </si>
  <si>
    <t>NE-0003-021-000</t>
  </si>
  <si>
    <t>OS-97646044N</t>
  </si>
  <si>
    <t>NE-0003-021-002</t>
  </si>
  <si>
    <t>NE-0003-021-004</t>
  </si>
  <si>
    <t>NE-0003-021-003</t>
  </si>
  <si>
    <t>MBL-1651-714-20</t>
  </si>
  <si>
    <t>NE-0003-022-002</t>
  </si>
  <si>
    <t>LEFT BRIDGE RISER</t>
  </si>
  <si>
    <t>OSAI MOTOR</t>
  </si>
  <si>
    <t>DIE SPRING</t>
  </si>
  <si>
    <t>GEARBOX</t>
  </si>
  <si>
    <t>PRELOAD TENSION BAR (LEFT HAND ONLY)</t>
  </si>
  <si>
    <t>PRELOADED SCREW</t>
  </si>
  <si>
    <t>GEARBOX MOUNT</t>
  </si>
  <si>
    <t>MALE GUIDE</t>
  </si>
  <si>
    <t>FEMALE GUIDE</t>
  </si>
  <si>
    <t>PRELOAD TENSION BAR</t>
  </si>
  <si>
    <t>30MM BEARING</t>
  </si>
  <si>
    <t>LIMIT SWITCH (RIGHT HAND ONLY)</t>
  </si>
  <si>
    <t>LIMIT SWITCH SUPPORT BAR (RIGHT HAND ONLY)</t>
  </si>
  <si>
    <t>NE-0003-030-005</t>
  </si>
  <si>
    <t>NE-0003-030-004</t>
  </si>
  <si>
    <t>NE-0003-030-003</t>
  </si>
  <si>
    <t>NE-0003-030-008</t>
  </si>
  <si>
    <t>NE-0003-030-001</t>
  </si>
  <si>
    <t>MBL-R1605-204-31-0660-30</t>
  </si>
  <si>
    <t>NE-0003-030-006</t>
  </si>
  <si>
    <t>NE-0003-030-002</t>
  </si>
  <si>
    <t>OS-97745334P</t>
  </si>
  <si>
    <t>PC-1213630420CP</t>
  </si>
  <si>
    <t>PC-371Z63G27028001</t>
  </si>
  <si>
    <t>CABLE SUPPORT</t>
  </si>
  <si>
    <t>DRIVE MOUNT</t>
  </si>
  <si>
    <t>Y AXIS LIMIT SWITCH MOUNT</t>
  </si>
  <si>
    <t>Y AXIS BUMPER MOUNT</t>
  </si>
  <si>
    <t>M8 OVERTRAVEL BUMPER</t>
  </si>
  <si>
    <t>Y AXIS CARRIAGE PLATE</t>
  </si>
  <si>
    <t>25MM BEARING</t>
  </si>
  <si>
    <t>DRIP TRAY</t>
  </si>
  <si>
    <t>25MM RAIL</t>
  </si>
  <si>
    <t>LIMIT SWITCH</t>
  </si>
  <si>
    <t>LIMIT SWITCH MOUNT</t>
  </si>
  <si>
    <t>SPACER</t>
  </si>
  <si>
    <t>Z AXIS DRIVE MOUNT</t>
  </si>
  <si>
    <t>BALANCE CYLINDER</t>
  </si>
  <si>
    <t>ACTUATOR</t>
  </si>
  <si>
    <t>NE-0003-000-000</t>
  </si>
  <si>
    <t>NE MACHINE</t>
  </si>
  <si>
    <t>Left Bridge Riser</t>
  </si>
  <si>
    <t xml:space="preserve"> NE-0003-021-001</t>
  </si>
  <si>
    <t>MBL-1651-214-20</t>
  </si>
  <si>
    <t>Z AXIS CARRIAGE PLATE</t>
  </si>
  <si>
    <t>28MM CAM</t>
  </si>
  <si>
    <t>90 SWITCH CAM</t>
  </si>
  <si>
    <t>BALANCE CYLINDER MOUNT</t>
  </si>
  <si>
    <t>MOTOR SUPPORT</t>
  </si>
  <si>
    <t>T BAR</t>
  </si>
  <si>
    <t>SPINDLE</t>
  </si>
  <si>
    <t>SERVO ADAPTOR</t>
  </si>
  <si>
    <t>DUST ASSEMBLY</t>
  </si>
  <si>
    <t>C AXIS</t>
  </si>
  <si>
    <t>NE-0003-050-001</t>
  </si>
  <si>
    <t>OS-97643126G</t>
  </si>
  <si>
    <t>EMT-A6161H0766</t>
  </si>
  <si>
    <t>NE-0003-050-002</t>
  </si>
  <si>
    <t>EMT-6314H0019B</t>
  </si>
  <si>
    <t>DUST BRUSH ASSEMBLY</t>
  </si>
  <si>
    <t>SUPPORT Ø38 H=90MM</t>
  </si>
  <si>
    <t>CYLINDER ISO 6432 Ø25MM STROKE=100MM</t>
  </si>
  <si>
    <t>SCHNORR TYPE WASHER Ø 6</t>
  </si>
  <si>
    <t>SCHNORR TYPE WASHER Ø 8</t>
  </si>
  <si>
    <t>HEXAGON SOCKET BUTTON HEAD SCREW M4X10 10.9</t>
  </si>
  <si>
    <t>HEXAGON SOCKET BUTTON HEAD SCREW M6X12 10.9</t>
  </si>
  <si>
    <t>HEXAGON SOCKET HEAD CAP SCREW M6X12 8.8</t>
  </si>
  <si>
    <t>HEXAGON SOCKET HEAD CAP SCREW M6X20 8.8</t>
  </si>
  <si>
    <t>HEXAGON SOCKET HEAD CAP SCREW M6X25 8.8</t>
  </si>
  <si>
    <t>HEXAGON SOCKET HEAD CAP SCREW M8X20 8.8</t>
  </si>
  <si>
    <t>HEXAGON NUT M4 8.8</t>
  </si>
  <si>
    <t>LINEAR BALL BEARING KH 1630 PP</t>
  </si>
  <si>
    <t>GASKET G 16X24X3</t>
  </si>
  <si>
    <t>SEAL G 20X28X4 INA</t>
  </si>
  <si>
    <t>LINEAR BALL BEARING KH2030 PP</t>
  </si>
  <si>
    <t>DUST EXTRACTION Ø160 299MM WIDTH H=683,5</t>
  </si>
  <si>
    <t>GUIDE BAR Ø20 225MM LENGTH</t>
  </si>
  <si>
    <t>GUIDE BAR Ø16 230MM LENGTH</t>
  </si>
  <si>
    <t>PLATE L=90MM W=43MM H=10MM</t>
  </si>
  <si>
    <t>CASING 299MM LENGTH 196MM WIDTH H=20MM</t>
  </si>
  <si>
    <t>DUST EXTRACTION COVER L=226MM W=38MM</t>
  </si>
  <si>
    <t>PLATE 405MM LENGTH 303MM WIDTH H=8MM</t>
  </si>
  <si>
    <t>PLATE 405MM LENGTH 303MM WIDTH H=4MM</t>
  </si>
  <si>
    <t>BELLOW 360MM LENGTH 301MM WIDTH</t>
  </si>
  <si>
    <t>DUST BRUSH</t>
  </si>
  <si>
    <t>CYLINDER CLAMP 62MM LENGTH 60MM WIDTH</t>
  </si>
  <si>
    <t>TOOL CHANGER</t>
  </si>
  <si>
    <t>Parts Present in Catalogue Model # NE 1104 3616</t>
  </si>
  <si>
    <t>NE-0003-060-003</t>
  </si>
  <si>
    <t>NE-0003-060-004</t>
  </si>
  <si>
    <t>NE-0003-060-001</t>
  </si>
  <si>
    <t>NE-0003-060-002</t>
  </si>
  <si>
    <t>ISO30 TOOL FORK</t>
  </si>
  <si>
    <t>8MM PROXIMITY SWITCH BRACKET</t>
  </si>
  <si>
    <t>PROXIMITY SWITCH (NOT SHOWN)</t>
  </si>
  <si>
    <t>Gearbox</t>
  </si>
  <si>
    <t>TOOL CHANGE MOUNT BRACKET</t>
  </si>
  <si>
    <t>TOOL CHANGE MOUNT ARM</t>
  </si>
  <si>
    <t>TOOL DISK</t>
  </si>
  <si>
    <t>BOLT FLANGE</t>
  </si>
  <si>
    <t>CONEX L22X44</t>
  </si>
  <si>
    <t>FIXTURE</t>
  </si>
  <si>
    <t>NE-0003-080-003</t>
  </si>
  <si>
    <t>NE-0003-080-012</t>
  </si>
  <si>
    <t>MM-9960T51</t>
  </si>
  <si>
    <t>NE-0003-080-020</t>
  </si>
  <si>
    <t>NE-0003-080-016</t>
  </si>
  <si>
    <t>MM-6659K44</t>
  </si>
  <si>
    <t>NE-0003-080-007</t>
  </si>
  <si>
    <t>OS-976431216G</t>
  </si>
  <si>
    <t>NE-0003-080-014</t>
  </si>
  <si>
    <t>PC-RFTOM#206</t>
  </si>
  <si>
    <t>PC-25CA50F052XP</t>
  </si>
  <si>
    <t>PC-W0950506312</t>
  </si>
  <si>
    <t>NE-0003-080-004</t>
  </si>
  <si>
    <t>NE-0003-080-006</t>
  </si>
  <si>
    <t>NE-0003-080-015</t>
  </si>
  <si>
    <t>NE-0003-080-005</t>
  </si>
  <si>
    <t>MBL-R1651-214-20</t>
  </si>
  <si>
    <t>MBL-R1605-204-31-1200-30</t>
  </si>
  <si>
    <t>NE-0003-080-018</t>
  </si>
  <si>
    <t>NE-0003-080-013</t>
  </si>
  <si>
    <t>PC-1130160050-ZP</t>
  </si>
  <si>
    <t>NE-0003-080-008</t>
  </si>
  <si>
    <t>NE-0003-080-002</t>
  </si>
  <si>
    <t>NE-0003-080-001</t>
  </si>
  <si>
    <t>MBL-MSC15R540-10</t>
  </si>
  <si>
    <t>MBL-MSC15MLLFZN</t>
  </si>
  <si>
    <t>MANIFOLD BOTTOM PLATE</t>
  </si>
  <si>
    <t>SKATE WHEEL MOUNT</t>
  </si>
  <si>
    <t>STEEL SKATE WHEEL</t>
  </si>
  <si>
    <t>CRANK ARM</t>
  </si>
  <si>
    <t>CONEX L22 X 44</t>
  </si>
  <si>
    <t>FLANGED SLEEVE BEARING</t>
  </si>
  <si>
    <t>STOP MOUNTING PLATE</t>
  </si>
  <si>
    <t>DOOR STOP</t>
  </si>
  <si>
    <t>REFERENCE STOP</t>
  </si>
  <si>
    <t>CYLINDER 52MM STROKE</t>
  </si>
  <si>
    <t>FLANGE</t>
  </si>
  <si>
    <t>CARRIAGE MOUNT</t>
  </si>
  <si>
    <t>CYLINDER SPACER</t>
  </si>
  <si>
    <t>RAIL MOUNT</t>
  </si>
  <si>
    <t>DRIVE PIN</t>
  </si>
  <si>
    <t>CYLINDER ROD END MOUNT</t>
  </si>
  <si>
    <t>AIR CYLINDER D=16 STROKE 50MM</t>
  </si>
  <si>
    <t>VACUUM POD MANIFOLD</t>
  </si>
  <si>
    <t>VACUUM POD</t>
  </si>
  <si>
    <t>15MM RAIL</t>
  </si>
  <si>
    <t>15MM BEARING</t>
  </si>
  <si>
    <t>SHOWN</t>
  </si>
  <si>
    <t>Part Recreated</t>
  </si>
  <si>
    <t>MISSING</t>
  </si>
  <si>
    <t>CORRUPTED</t>
  </si>
  <si>
    <t>YES</t>
  </si>
  <si>
    <t>Available</t>
  </si>
  <si>
    <t>N/A</t>
  </si>
  <si>
    <t>009008004300</t>
  </si>
  <si>
    <t>00800517000</t>
  </si>
  <si>
    <t>009008009600</t>
  </si>
  <si>
    <t>006001008800</t>
  </si>
  <si>
    <t>006001008600</t>
  </si>
  <si>
    <t>001008013900</t>
  </si>
  <si>
    <t>009008007700</t>
  </si>
  <si>
    <t>008005017000</t>
  </si>
  <si>
    <t>004008012300</t>
  </si>
  <si>
    <t>009001009200</t>
  </si>
  <si>
    <t>009001009300</t>
  </si>
  <si>
    <t>009003006000</t>
  </si>
  <si>
    <t>009003007500</t>
  </si>
  <si>
    <t>009003023000</t>
  </si>
  <si>
    <t>009003024100</t>
  </si>
  <si>
    <t>009003024300</t>
  </si>
  <si>
    <t>009003027800</t>
  </si>
  <si>
    <t>009005005400</t>
  </si>
  <si>
    <t>012000005200</t>
  </si>
  <si>
    <t>012000009900</t>
  </si>
  <si>
    <t>012000010000</t>
  </si>
  <si>
    <t>012000010200</t>
  </si>
  <si>
    <t>008005017100</t>
  </si>
  <si>
    <t>001033005500</t>
  </si>
  <si>
    <t>008003003400</t>
  </si>
  <si>
    <t>00800517100</t>
  </si>
  <si>
    <t>Part present in Recreated Model (Multi Ax Assembly.Step)</t>
  </si>
  <si>
    <t>SUMMARY (Total Count)</t>
  </si>
  <si>
    <t>Parts Present in catalogue = 133</t>
  </si>
  <si>
    <t>Parts matching with common parts.xls = 19</t>
  </si>
  <si>
    <t>Parts matching with 5922 model parts.xls = 69</t>
  </si>
  <si>
    <t>Parts present in Step file = 92</t>
  </si>
  <si>
    <t>Parts missing from Step file = 41</t>
  </si>
  <si>
    <t>Parts corrupted in Step file = 39</t>
  </si>
  <si>
    <t>Parts recreated = 71</t>
  </si>
  <si>
    <t>Sr.No.</t>
  </si>
  <si>
    <t>Nos.</t>
  </si>
  <si>
    <t>Summary</t>
  </si>
  <si>
    <t>INPUT Values</t>
  </si>
  <si>
    <t>MultiAx Machine Comparison with Shared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</si>
</sst>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sz val="13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7E4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6" fillId="0" borderId="0" applyNumberFormat="0" applyFill="0" applyBorder="0" applyAlignment="0" applyProtection="0"/>
    <xf numFmtId="0" fontId="1" fillId="6" borderId="3" applyNumberFormat="0" applyFont="0" applyAlignment="0" applyProtection="0"/>
    <xf numFmtId="0" fontId="1" fillId="7" borderId="0" applyNumberFormat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top"/>
    </xf>
    <xf numFmtId="0" fontId="0" fillId="0" borderId="4" xfId="0" applyBorder="1" applyAlignment="1">
      <alignment horizontal="center"/>
    </xf>
    <xf numFmtId="0" fontId="3" fillId="3" borderId="4" xfId="2" applyBorder="1" applyAlignment="1">
      <alignment horizontal="center" vertical="center"/>
    </xf>
    <xf numFmtId="0" fontId="3" fillId="3" borderId="4" xfId="2" applyBorder="1" applyAlignment="1">
      <alignment horizontal="center"/>
    </xf>
    <xf numFmtId="0" fontId="7" fillId="8" borderId="4" xfId="3" applyFont="1" applyFill="1" applyBorder="1" applyAlignment="1">
      <alignment horizontal="center" vertical="center"/>
    </xf>
    <xf numFmtId="0" fontId="7" fillId="4" borderId="4" xfId="3" applyFont="1" applyBorder="1" applyAlignment="1">
      <alignment horizontal="center" vertical="center"/>
    </xf>
    <xf numFmtId="1" fontId="3" fillId="3" borderId="4" xfId="2" applyNumberFormat="1" applyBorder="1" applyAlignment="1">
      <alignment horizontal="center"/>
    </xf>
    <xf numFmtId="0" fontId="0" fillId="6" borderId="4" xfId="6" applyFont="1" applyBorder="1" applyAlignment="1">
      <alignment horizontal="center"/>
    </xf>
    <xf numFmtId="0" fontId="1" fillId="6" borderId="4" xfId="6" applyFont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5" xfId="1" applyBorder="1" applyAlignment="1">
      <alignment horizontal="center"/>
    </xf>
    <xf numFmtId="0" fontId="5" fillId="5" borderId="4" xfId="4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6" borderId="4" xfId="6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10" borderId="4" xfId="2" applyFill="1" applyBorder="1" applyAlignment="1">
      <alignment horizontal="center"/>
    </xf>
    <xf numFmtId="0" fontId="0" fillId="10" borderId="4" xfId="6" applyFont="1" applyFill="1" applyBorder="1" applyAlignment="1">
      <alignment horizontal="center"/>
    </xf>
    <xf numFmtId="0" fontId="1" fillId="10" borderId="4" xfId="7" applyFill="1" applyBorder="1" applyAlignment="1">
      <alignment horizontal="center"/>
    </xf>
    <xf numFmtId="0" fontId="1" fillId="10" borderId="5" xfId="7" applyFill="1" applyBorder="1" applyAlignment="1">
      <alignment horizontal="center"/>
    </xf>
    <xf numFmtId="1" fontId="0" fillId="0" borderId="5" xfId="0" quotePrefix="1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6" borderId="4" xfId="6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quotePrefix="1" applyNumberFormat="1" applyBorder="1" applyAlignment="1">
      <alignment horizontal="center" vertical="center"/>
    </xf>
    <xf numFmtId="0" fontId="9" fillId="9" borderId="5" xfId="3" applyFont="1" applyFill="1" applyBorder="1" applyAlignment="1">
      <alignment horizontal="center" vertical="center"/>
    </xf>
    <xf numFmtId="0" fontId="3" fillId="11" borderId="4" xfId="2" applyFill="1" applyBorder="1" applyAlignment="1">
      <alignment horizontal="center" vertical="center"/>
    </xf>
    <xf numFmtId="0" fontId="0" fillId="11" borderId="4" xfId="6" applyFont="1" applyFill="1" applyBorder="1" applyAlignment="1">
      <alignment horizontal="center" vertical="center"/>
    </xf>
    <xf numFmtId="0" fontId="1" fillId="11" borderId="4" xfId="7" applyFill="1" applyBorder="1" applyAlignment="1">
      <alignment horizontal="center" vertical="center"/>
    </xf>
    <xf numFmtId="0" fontId="1" fillId="11" borderId="5" xfId="7" applyFill="1" applyBorder="1" applyAlignment="1">
      <alignment horizontal="center" vertical="center"/>
    </xf>
    <xf numFmtId="0" fontId="7" fillId="4" borderId="5" xfId="3" applyFont="1" applyBorder="1" applyAlignment="1">
      <alignment horizontal="center" vertical="center"/>
    </xf>
    <xf numFmtId="0" fontId="0" fillId="6" borderId="4" xfId="6" applyFont="1" applyBorder="1" applyAlignment="1">
      <alignment horizontal="center" vertical="center"/>
    </xf>
    <xf numFmtId="0" fontId="6" fillId="0" borderId="4" xfId="5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11" borderId="4" xfId="7" applyFill="1" applyBorder="1" applyAlignment="1">
      <alignment horizontal="center"/>
    </xf>
    <xf numFmtId="0" fontId="6" fillId="0" borderId="4" xfId="5" applyBorder="1" applyAlignment="1">
      <alignment horizontal="center"/>
    </xf>
    <xf numFmtId="0" fontId="0" fillId="11" borderId="4" xfId="6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4" xfId="0" quotePrefix="1" applyNumberFormat="1" applyBorder="1" applyAlignment="1">
      <alignment horizontal="center"/>
    </xf>
    <xf numFmtId="1" fontId="0" fillId="0" borderId="5" xfId="0" quotePrefix="1" applyNumberFormat="1" applyBorder="1" applyAlignment="1">
      <alignment horizontal="center"/>
    </xf>
    <xf numFmtId="0" fontId="3" fillId="11" borderId="4" xfId="2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top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" fontId="3" fillId="6" borderId="3" xfId="6" applyNumberFormat="1" applyFont="1" applyAlignment="1">
      <alignment horizontal="center"/>
    </xf>
    <xf numFmtId="0" fontId="3" fillId="6" borderId="3" xfId="6" applyFont="1" applyAlignment="1">
      <alignment horizontal="center" vertical="center"/>
    </xf>
    <xf numFmtId="0" fontId="3" fillId="6" borderId="3" xfId="6" applyFont="1" applyAlignment="1">
      <alignment horizontal="center"/>
    </xf>
    <xf numFmtId="1" fontId="0" fillId="6" borderId="3" xfId="6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12" borderId="23" xfId="0" applyFont="1" applyFill="1" applyBorder="1" applyAlignment="1">
      <alignment horizontal="center" vertical="center"/>
    </xf>
    <xf numFmtId="0" fontId="0" fillId="6" borderId="3" xfId="6" applyFont="1" applyAlignment="1">
      <alignment horizontal="center"/>
    </xf>
    <xf numFmtId="0" fontId="1" fillId="6" borderId="3" xfId="6" applyAlignment="1">
      <alignment horizontal="center"/>
    </xf>
    <xf numFmtId="0" fontId="2" fillId="6" borderId="3" xfId="6" applyFont="1" applyAlignment="1">
      <alignment horizontal="center"/>
    </xf>
    <xf numFmtId="0" fontId="8" fillId="6" borderId="3" xfId="6" applyFont="1" applyAlignment="1">
      <alignment horizontal="center"/>
    </xf>
    <xf numFmtId="0" fontId="15" fillId="8" borderId="5" xfId="3" applyFont="1" applyFill="1" applyBorder="1" applyAlignment="1">
      <alignment horizontal="center" vertical="center" wrapText="1"/>
    </xf>
    <xf numFmtId="0" fontId="15" fillId="4" borderId="5" xfId="3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6" fillId="0" borderId="24" xfId="0" applyFont="1" applyBorder="1" applyAlignment="1">
      <alignment vertical="top"/>
    </xf>
    <xf numFmtId="0" fontId="16" fillId="0" borderId="25" xfId="0" applyFont="1" applyBorder="1" applyAlignment="1">
      <alignment vertical="top"/>
    </xf>
    <xf numFmtId="0" fontId="16" fillId="0" borderId="26" xfId="0" applyFont="1" applyBorder="1" applyAlignment="1">
      <alignment vertical="top"/>
    </xf>
    <xf numFmtId="0" fontId="16" fillId="0" borderId="12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0" fontId="16" fillId="0" borderId="14" xfId="0" applyFont="1" applyBorder="1" applyAlignment="1">
      <alignment vertical="top"/>
    </xf>
    <xf numFmtId="0" fontId="16" fillId="0" borderId="15" xfId="0" applyFont="1" applyBorder="1" applyAlignment="1">
      <alignment vertical="top"/>
    </xf>
    <xf numFmtId="0" fontId="16" fillId="0" borderId="16" xfId="0" applyFont="1" applyBorder="1" applyAlignment="1">
      <alignment vertical="top"/>
    </xf>
    <xf numFmtId="0" fontId="15" fillId="13" borderId="5" xfId="3" applyFont="1" applyFill="1" applyBorder="1" applyAlignment="1">
      <alignment horizontal="center" vertical="center" wrapText="1"/>
    </xf>
    <xf numFmtId="0" fontId="15" fillId="14" borderId="5" xfId="3" applyFont="1" applyFill="1" applyBorder="1" applyAlignment="1">
      <alignment horizontal="center" vertical="center" wrapText="1"/>
    </xf>
    <xf numFmtId="0" fontId="15" fillId="15" borderId="5" xfId="3" applyFont="1" applyFill="1" applyBorder="1" applyAlignment="1">
      <alignment horizontal="center" vertical="center" wrapText="1"/>
    </xf>
    <xf numFmtId="0" fontId="15" fillId="16" borderId="5" xfId="3" applyFont="1" applyFill="1" applyBorder="1" applyAlignment="1">
      <alignment horizontal="center" vertical="center" wrapText="1"/>
    </xf>
    <xf numFmtId="0" fontId="12" fillId="9" borderId="5" xfId="3" applyFont="1" applyFill="1" applyBorder="1" applyAlignment="1">
      <alignment horizontal="center" vertical="center" wrapText="1"/>
    </xf>
  </cellXfs>
  <cellStyles count="8">
    <cellStyle name="20% - Accent1" xfId="7" builtinId="30"/>
    <cellStyle name="Bad" xfId="2" builtinId="27"/>
    <cellStyle name="Check Cell" xfId="4" builtinId="23"/>
    <cellStyle name="Good" xfId="1" builtinId="26"/>
    <cellStyle name="Input" xfId="3" builtinId="20"/>
    <cellStyle name="Normal" xfId="0" builtinId="0"/>
    <cellStyle name="Note" xfId="6" builtinId="10"/>
    <cellStyle name="Warning Text" xfId="5" builtinId="11"/>
  </cellStyles>
  <dxfs count="4"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A5A5A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A5A5A5"/>
        </patternFill>
      </fill>
    </dxf>
  </dxfs>
  <tableStyles count="0" defaultTableStyle="TableStyleMedium2" defaultPivotStyle="PivotStyleLight16"/>
  <colors>
    <mruColors>
      <color rgb="FFFFA3A3"/>
      <color rgb="FFFF8F8F"/>
      <color rgb="FFFF7D7D"/>
      <color rgb="FFFFFFFF"/>
      <color rgb="FFA5A5A5"/>
      <color rgb="FFC6EFCE"/>
      <color rgb="FF006100"/>
      <color rgb="FF81FFBA"/>
      <color rgb="FF97E4FF"/>
      <color rgb="FF5D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E305-590D-4FFB-8AD2-B17226F1E903}">
  <dimension ref="A1:R151"/>
  <sheetViews>
    <sheetView zoomScaleNormal="100" workbookViewId="0">
      <selection activeCell="B1" sqref="B1:B1048576"/>
    </sheetView>
  </sheetViews>
  <sheetFormatPr defaultRowHeight="15" x14ac:dyDescent="0.25"/>
  <cols>
    <col min="1" max="1" width="48.42578125" bestFit="1" customWidth="1"/>
    <col min="2" max="2" width="48.140625" bestFit="1" customWidth="1"/>
    <col min="3" max="3" width="26.140625" bestFit="1" customWidth="1"/>
    <col min="4" max="4" width="56.28515625" bestFit="1" customWidth="1"/>
    <col min="5" max="5" width="28.85546875" bestFit="1" customWidth="1"/>
    <col min="6" max="6" width="17.7109375" customWidth="1"/>
    <col min="7" max="7" width="22.140625" customWidth="1"/>
  </cols>
  <sheetData>
    <row r="1" spans="1:18" ht="30.75" customHeight="1" x14ac:dyDescent="0.25">
      <c r="A1" s="5" t="s">
        <v>135</v>
      </c>
      <c r="B1" s="6" t="s">
        <v>3</v>
      </c>
      <c r="C1" s="6" t="s">
        <v>1</v>
      </c>
      <c r="D1" s="43" t="s">
        <v>230</v>
      </c>
      <c r="E1" s="6" t="s">
        <v>0</v>
      </c>
      <c r="F1" s="48" t="s">
        <v>200</v>
      </c>
      <c r="G1" s="6" t="s">
        <v>198</v>
      </c>
    </row>
    <row r="2" spans="1:18" x14ac:dyDescent="0.25">
      <c r="A2" s="7" t="s">
        <v>87</v>
      </c>
      <c r="B2" s="3" t="s">
        <v>88</v>
      </c>
      <c r="C2" s="33" t="s">
        <v>203</v>
      </c>
      <c r="D2" s="4" t="s">
        <v>203</v>
      </c>
      <c r="E2" s="44" t="s">
        <v>203</v>
      </c>
      <c r="F2" s="3" t="s">
        <v>203</v>
      </c>
      <c r="G2" s="4" t="s">
        <v>203</v>
      </c>
    </row>
    <row r="3" spans="1:18" x14ac:dyDescent="0.25">
      <c r="A3" s="15" t="s">
        <v>2</v>
      </c>
      <c r="B3" s="9" t="s">
        <v>4</v>
      </c>
      <c r="C3" s="34" t="s">
        <v>203</v>
      </c>
      <c r="D3" s="8" t="s">
        <v>203</v>
      </c>
      <c r="E3" s="45" t="s">
        <v>203</v>
      </c>
      <c r="F3" s="49" t="s">
        <v>203</v>
      </c>
      <c r="G3" s="8" t="s">
        <v>203</v>
      </c>
    </row>
    <row r="4" spans="1:18" x14ac:dyDescent="0.25">
      <c r="A4" s="15" t="s">
        <v>11</v>
      </c>
      <c r="B4" s="9" t="s">
        <v>5</v>
      </c>
      <c r="C4" s="34" t="s">
        <v>203</v>
      </c>
      <c r="D4" s="8" t="s">
        <v>203</v>
      </c>
      <c r="E4" s="45" t="s">
        <v>203</v>
      </c>
      <c r="F4" s="49" t="s">
        <v>203</v>
      </c>
      <c r="G4" s="8" t="s">
        <v>203</v>
      </c>
    </row>
    <row r="5" spans="1:18" x14ac:dyDescent="0.25">
      <c r="A5" s="15" t="s">
        <v>12</v>
      </c>
      <c r="B5" s="9" t="s">
        <v>6</v>
      </c>
      <c r="C5" s="34" t="s">
        <v>203</v>
      </c>
      <c r="D5" s="8" t="s">
        <v>203</v>
      </c>
      <c r="E5" s="45" t="s">
        <v>203</v>
      </c>
      <c r="F5" s="49" t="s">
        <v>203</v>
      </c>
      <c r="G5" s="8" t="s">
        <v>203</v>
      </c>
    </row>
    <row r="6" spans="1:18" x14ac:dyDescent="0.25">
      <c r="A6" s="15" t="s">
        <v>13</v>
      </c>
      <c r="B6" s="9" t="s">
        <v>7</v>
      </c>
      <c r="C6" s="34" t="s">
        <v>203</v>
      </c>
      <c r="D6" s="8" t="s">
        <v>203</v>
      </c>
      <c r="E6" s="45" t="s">
        <v>203</v>
      </c>
      <c r="F6" s="49" t="s">
        <v>203</v>
      </c>
      <c r="G6" s="8" t="s">
        <v>203</v>
      </c>
    </row>
    <row r="7" spans="1:18" x14ac:dyDescent="0.25">
      <c r="A7" s="15" t="s">
        <v>14</v>
      </c>
      <c r="B7" s="9" t="s">
        <v>8</v>
      </c>
      <c r="C7" s="34" t="s">
        <v>203</v>
      </c>
      <c r="D7" s="8" t="s">
        <v>203</v>
      </c>
      <c r="E7" s="45" t="s">
        <v>203</v>
      </c>
      <c r="F7" s="49" t="s">
        <v>203</v>
      </c>
      <c r="G7" s="8" t="s">
        <v>203</v>
      </c>
      <c r="I7" s="59" t="s">
        <v>231</v>
      </c>
      <c r="J7" s="59"/>
      <c r="K7" s="59"/>
      <c r="L7" s="59"/>
      <c r="M7" s="59"/>
      <c r="N7" s="59"/>
    </row>
    <row r="8" spans="1:18" x14ac:dyDescent="0.25">
      <c r="A8" s="15" t="s">
        <v>15</v>
      </c>
      <c r="B8" s="9" t="s">
        <v>9</v>
      </c>
      <c r="C8" s="34" t="s">
        <v>203</v>
      </c>
      <c r="D8" s="8" t="s">
        <v>203</v>
      </c>
      <c r="E8" s="45" t="s">
        <v>203</v>
      </c>
      <c r="F8" s="49" t="s">
        <v>203</v>
      </c>
      <c r="G8" s="8" t="s">
        <v>203</v>
      </c>
      <c r="I8" s="60" t="s">
        <v>232</v>
      </c>
      <c r="J8" s="60"/>
      <c r="K8" s="60"/>
      <c r="L8" s="60"/>
      <c r="M8" s="60"/>
      <c r="N8" s="60"/>
      <c r="O8" s="1"/>
      <c r="P8" s="1"/>
      <c r="Q8" s="1"/>
      <c r="R8" s="1"/>
    </row>
    <row r="9" spans="1:18" x14ac:dyDescent="0.25">
      <c r="A9" s="15" t="s">
        <v>16</v>
      </c>
      <c r="B9" s="9" t="s">
        <v>10</v>
      </c>
      <c r="C9" s="34" t="s">
        <v>203</v>
      </c>
      <c r="D9" s="8" t="s">
        <v>203</v>
      </c>
      <c r="E9" s="45" t="s">
        <v>203</v>
      </c>
      <c r="F9" s="49" t="s">
        <v>203</v>
      </c>
      <c r="G9" s="8" t="s">
        <v>203</v>
      </c>
      <c r="I9" s="60" t="s">
        <v>233</v>
      </c>
      <c r="J9" s="60"/>
      <c r="K9" s="60"/>
      <c r="L9" s="60"/>
      <c r="M9" s="60"/>
      <c r="N9" s="60"/>
      <c r="O9" s="1"/>
      <c r="P9" s="1"/>
      <c r="Q9" s="1"/>
      <c r="R9" s="1"/>
    </row>
    <row r="10" spans="1:18" x14ac:dyDescent="0.25">
      <c r="A10" s="37" t="s">
        <v>210</v>
      </c>
      <c r="B10" s="2" t="s">
        <v>22</v>
      </c>
      <c r="C10" s="35" t="s">
        <v>36</v>
      </c>
      <c r="D10" s="10" t="s">
        <v>197</v>
      </c>
      <c r="E10" s="46" t="s">
        <v>201</v>
      </c>
      <c r="F10" s="41" t="s">
        <v>36</v>
      </c>
      <c r="G10" s="13" t="s">
        <v>202</v>
      </c>
      <c r="I10" s="60" t="s">
        <v>234</v>
      </c>
      <c r="J10" s="60"/>
      <c r="K10" s="60"/>
      <c r="L10" s="60"/>
      <c r="M10" s="60"/>
      <c r="N10" s="60"/>
      <c r="O10" s="1"/>
      <c r="P10" s="1"/>
      <c r="Q10" s="1"/>
      <c r="R10" s="1"/>
    </row>
    <row r="11" spans="1:18" x14ac:dyDescent="0.25">
      <c r="A11" s="38">
        <v>203025001100</v>
      </c>
      <c r="B11" s="2" t="s">
        <v>23</v>
      </c>
      <c r="C11" s="35" t="s">
        <v>36</v>
      </c>
      <c r="D11" s="10" t="s">
        <v>197</v>
      </c>
      <c r="E11" s="46" t="s">
        <v>201</v>
      </c>
      <c r="F11" s="41" t="s">
        <v>36</v>
      </c>
      <c r="G11" s="13" t="s">
        <v>202</v>
      </c>
      <c r="I11" s="60" t="s">
        <v>235</v>
      </c>
      <c r="J11" s="60"/>
      <c r="K11" s="60"/>
      <c r="L11" s="60"/>
      <c r="M11" s="60"/>
      <c r="N11" s="60"/>
      <c r="O11" s="1"/>
      <c r="P11" s="1"/>
      <c r="Q11" s="1"/>
      <c r="R11" s="1"/>
    </row>
    <row r="12" spans="1:18" x14ac:dyDescent="0.25">
      <c r="A12" s="38" t="s">
        <v>17</v>
      </c>
      <c r="B12" s="2" t="s">
        <v>17</v>
      </c>
      <c r="C12" s="35" t="s">
        <v>201</v>
      </c>
      <c r="D12" s="10" t="s">
        <v>197</v>
      </c>
      <c r="E12" s="46" t="s">
        <v>201</v>
      </c>
      <c r="F12" s="41" t="s">
        <v>36</v>
      </c>
      <c r="G12" s="13" t="s">
        <v>202</v>
      </c>
      <c r="I12" s="60" t="s">
        <v>236</v>
      </c>
      <c r="J12" s="60"/>
      <c r="K12" s="60"/>
      <c r="L12" s="60"/>
      <c r="M12" s="60"/>
      <c r="N12" s="60"/>
      <c r="O12" s="1"/>
      <c r="P12" s="1"/>
      <c r="Q12" s="1"/>
      <c r="R12" s="1"/>
    </row>
    <row r="13" spans="1:18" x14ac:dyDescent="0.25">
      <c r="A13" s="38" t="s">
        <v>18</v>
      </c>
      <c r="B13" s="2" t="s">
        <v>24</v>
      </c>
      <c r="C13" s="35" t="s">
        <v>36</v>
      </c>
      <c r="D13" s="10" t="s">
        <v>197</v>
      </c>
      <c r="E13" s="46" t="s">
        <v>36</v>
      </c>
      <c r="F13" s="41" t="s">
        <v>36</v>
      </c>
      <c r="G13" s="13" t="s">
        <v>202</v>
      </c>
      <c r="I13" s="60" t="s">
        <v>237</v>
      </c>
      <c r="J13" s="60"/>
      <c r="K13" s="60"/>
      <c r="L13" s="60"/>
      <c r="M13" s="60"/>
      <c r="N13" s="60"/>
      <c r="O13" s="1"/>
      <c r="P13" s="1"/>
      <c r="Q13" s="1"/>
      <c r="R13" s="1"/>
    </row>
    <row r="14" spans="1:18" x14ac:dyDescent="0.25">
      <c r="A14" s="38" t="s">
        <v>19</v>
      </c>
      <c r="B14" s="2" t="s">
        <v>25</v>
      </c>
      <c r="C14" s="35" t="s">
        <v>201</v>
      </c>
      <c r="D14" s="10" t="s">
        <v>197</v>
      </c>
      <c r="E14" s="46" t="s">
        <v>201</v>
      </c>
      <c r="F14" s="41" t="s">
        <v>36</v>
      </c>
      <c r="G14" s="13" t="s">
        <v>202</v>
      </c>
      <c r="I14" s="60" t="s">
        <v>238</v>
      </c>
      <c r="J14" s="60"/>
      <c r="K14" s="60"/>
      <c r="L14" s="60"/>
      <c r="M14" s="60"/>
      <c r="N14" s="60"/>
      <c r="O14" s="1"/>
      <c r="P14" s="1"/>
      <c r="Q14" s="1"/>
      <c r="R14" s="1"/>
    </row>
    <row r="15" spans="1:18" x14ac:dyDescent="0.25">
      <c r="A15" s="38">
        <v>203047000200</v>
      </c>
      <c r="B15" s="2" t="s">
        <v>26</v>
      </c>
      <c r="C15" s="35" t="s">
        <v>201</v>
      </c>
      <c r="D15" s="10" t="s">
        <v>197</v>
      </c>
      <c r="E15" s="46" t="s">
        <v>201</v>
      </c>
      <c r="F15" s="41" t="s">
        <v>36</v>
      </c>
      <c r="G15" s="13" t="s">
        <v>202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38">
        <v>203012000200</v>
      </c>
      <c r="B16" s="2" t="s">
        <v>27</v>
      </c>
      <c r="C16" s="35" t="s">
        <v>36</v>
      </c>
      <c r="D16" s="10" t="s">
        <v>197</v>
      </c>
      <c r="E16" s="46" t="s">
        <v>201</v>
      </c>
      <c r="F16" s="50" t="s">
        <v>201</v>
      </c>
      <c r="G16" s="13" t="s">
        <v>202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38">
        <v>203038002500</v>
      </c>
      <c r="B17" s="2" t="s">
        <v>28</v>
      </c>
      <c r="C17" s="35" t="s">
        <v>36</v>
      </c>
      <c r="D17" s="10" t="s">
        <v>197</v>
      </c>
      <c r="E17" s="46" t="s">
        <v>36</v>
      </c>
      <c r="F17" s="50" t="s">
        <v>201</v>
      </c>
      <c r="G17" s="13" t="s">
        <v>202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38" t="s">
        <v>20</v>
      </c>
      <c r="B18" s="2" t="s">
        <v>29</v>
      </c>
      <c r="C18" s="35" t="s">
        <v>36</v>
      </c>
      <c r="D18" s="10" t="s">
        <v>197</v>
      </c>
      <c r="E18" s="46" t="s">
        <v>201</v>
      </c>
      <c r="F18" s="41" t="s">
        <v>36</v>
      </c>
      <c r="G18" s="13" t="s">
        <v>202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38" t="s">
        <v>21</v>
      </c>
      <c r="B19" s="2" t="s">
        <v>31</v>
      </c>
      <c r="C19" s="35" t="s">
        <v>36</v>
      </c>
      <c r="D19" s="10" t="s">
        <v>197</v>
      </c>
      <c r="E19" s="46" t="s">
        <v>201</v>
      </c>
      <c r="F19" s="41" t="s">
        <v>36</v>
      </c>
      <c r="G19" s="13" t="s">
        <v>202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38">
        <v>203026010200</v>
      </c>
      <c r="B20" s="2" t="s">
        <v>30</v>
      </c>
      <c r="C20" s="35" t="s">
        <v>36</v>
      </c>
      <c r="D20" s="10" t="s">
        <v>197</v>
      </c>
      <c r="E20" s="46" t="s">
        <v>201</v>
      </c>
      <c r="F20" s="41" t="s">
        <v>36</v>
      </c>
      <c r="G20" s="13" t="s">
        <v>202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39" t="s">
        <v>12</v>
      </c>
      <c r="B21" s="9" t="s">
        <v>6</v>
      </c>
      <c r="C21" s="34" t="s">
        <v>203</v>
      </c>
      <c r="D21" s="8" t="s">
        <v>203</v>
      </c>
      <c r="E21" s="45" t="s">
        <v>203</v>
      </c>
      <c r="F21" s="49" t="s">
        <v>203</v>
      </c>
      <c r="G21" s="8" t="s">
        <v>203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40" t="s">
        <v>20</v>
      </c>
      <c r="B22" s="2" t="s">
        <v>29</v>
      </c>
      <c r="C22" s="35" t="s">
        <v>36</v>
      </c>
      <c r="D22" s="10" t="s">
        <v>197</v>
      </c>
      <c r="E22" s="46" t="s">
        <v>201</v>
      </c>
      <c r="F22" s="41" t="s">
        <v>36</v>
      </c>
      <c r="G22" s="13" t="s">
        <v>202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40">
        <v>203038002500</v>
      </c>
      <c r="B23" s="2" t="s">
        <v>37</v>
      </c>
      <c r="C23" s="35" t="s">
        <v>36</v>
      </c>
      <c r="D23" s="10" t="s">
        <v>197</v>
      </c>
      <c r="E23" s="46" t="s">
        <v>36</v>
      </c>
      <c r="F23" s="41" t="s">
        <v>36</v>
      </c>
      <c r="G23" s="13" t="s">
        <v>202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40" t="s">
        <v>32</v>
      </c>
      <c r="B24" s="2" t="s">
        <v>38</v>
      </c>
      <c r="C24" s="35" t="s">
        <v>201</v>
      </c>
      <c r="D24" s="10" t="s">
        <v>197</v>
      </c>
      <c r="E24" s="46" t="s">
        <v>201</v>
      </c>
      <c r="F24" s="41" t="s">
        <v>36</v>
      </c>
      <c r="G24" s="13" t="s">
        <v>202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40" t="s">
        <v>33</v>
      </c>
      <c r="B25" s="2" t="s">
        <v>24</v>
      </c>
      <c r="C25" s="35" t="s">
        <v>36</v>
      </c>
      <c r="D25" s="10" t="s">
        <v>197</v>
      </c>
      <c r="E25" s="46" t="s">
        <v>36</v>
      </c>
      <c r="F25" s="41" t="s">
        <v>36</v>
      </c>
      <c r="G25" s="13" t="s">
        <v>202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39" t="s">
        <v>34</v>
      </c>
      <c r="B26" s="8" t="s">
        <v>39</v>
      </c>
      <c r="C26" s="35" t="s">
        <v>201</v>
      </c>
      <c r="D26" s="10" t="s">
        <v>197</v>
      </c>
      <c r="E26" s="46" t="s">
        <v>201</v>
      </c>
      <c r="F26" s="41" t="s">
        <v>36</v>
      </c>
      <c r="G26" s="13" t="s">
        <v>202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40">
        <v>203025001100</v>
      </c>
      <c r="B27" s="2" t="s">
        <v>23</v>
      </c>
      <c r="C27" s="35" t="s">
        <v>36</v>
      </c>
      <c r="D27" s="10" t="s">
        <v>197</v>
      </c>
      <c r="E27" s="46" t="s">
        <v>201</v>
      </c>
      <c r="F27" s="41" t="s">
        <v>36</v>
      </c>
      <c r="G27" s="13" t="s">
        <v>202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40">
        <v>203012000200</v>
      </c>
      <c r="B28" s="2" t="s">
        <v>40</v>
      </c>
      <c r="C28" s="35" t="s">
        <v>36</v>
      </c>
      <c r="D28" s="10" t="s">
        <v>197</v>
      </c>
      <c r="E28" s="46" t="s">
        <v>201</v>
      </c>
      <c r="F28" s="50" t="s">
        <v>201</v>
      </c>
      <c r="G28" s="13" t="s">
        <v>202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41" t="s">
        <v>36</v>
      </c>
      <c r="B29" s="2" t="s">
        <v>35</v>
      </c>
      <c r="C29" s="35" t="s">
        <v>203</v>
      </c>
      <c r="D29" s="10" t="s">
        <v>197</v>
      </c>
      <c r="E29" s="46" t="s">
        <v>203</v>
      </c>
      <c r="F29" s="41" t="s">
        <v>36</v>
      </c>
      <c r="G29" s="13" t="s">
        <v>202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39" t="s">
        <v>41</v>
      </c>
      <c r="B30" s="8" t="s">
        <v>89</v>
      </c>
      <c r="C30" s="36" t="s">
        <v>201</v>
      </c>
      <c r="D30" s="11" t="s">
        <v>197</v>
      </c>
      <c r="E30" s="47" t="s">
        <v>201</v>
      </c>
      <c r="F30" s="51" t="s">
        <v>36</v>
      </c>
      <c r="G30" s="16" t="s">
        <v>202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40" t="s">
        <v>90</v>
      </c>
      <c r="B31" s="2" t="s">
        <v>48</v>
      </c>
      <c r="C31" s="35" t="s">
        <v>201</v>
      </c>
      <c r="D31" s="10" t="s">
        <v>197</v>
      </c>
      <c r="E31" s="46" t="s">
        <v>201</v>
      </c>
      <c r="F31" s="41" t="s">
        <v>36</v>
      </c>
      <c r="G31" s="13" t="s">
        <v>202</v>
      </c>
    </row>
    <row r="32" spans="1:18" x14ac:dyDescent="0.25">
      <c r="A32" s="40" t="s">
        <v>42</v>
      </c>
      <c r="B32" s="2" t="s">
        <v>49</v>
      </c>
      <c r="C32" s="35" t="s">
        <v>36</v>
      </c>
      <c r="D32" s="10" t="s">
        <v>197</v>
      </c>
      <c r="E32" s="46" t="s">
        <v>36</v>
      </c>
      <c r="F32" s="41" t="s">
        <v>36</v>
      </c>
      <c r="G32" s="13" t="s">
        <v>202</v>
      </c>
    </row>
    <row r="33" spans="1:7" x14ac:dyDescent="0.25">
      <c r="A33" s="42" t="s">
        <v>204</v>
      </c>
      <c r="B33" s="2" t="s">
        <v>50</v>
      </c>
      <c r="C33" s="35" t="s">
        <v>36</v>
      </c>
      <c r="D33" s="12" t="s">
        <v>199</v>
      </c>
      <c r="E33" s="46" t="s">
        <v>201</v>
      </c>
      <c r="F33" s="41" t="s">
        <v>36</v>
      </c>
      <c r="G33" s="2" t="s">
        <v>36</v>
      </c>
    </row>
    <row r="34" spans="1:7" x14ac:dyDescent="0.25">
      <c r="A34" s="42" t="s">
        <v>211</v>
      </c>
      <c r="B34" s="2" t="s">
        <v>51</v>
      </c>
      <c r="C34" s="35" t="s">
        <v>36</v>
      </c>
      <c r="D34" s="10" t="s">
        <v>197</v>
      </c>
      <c r="E34" s="46" t="s">
        <v>201</v>
      </c>
      <c r="F34" s="41" t="s">
        <v>36</v>
      </c>
      <c r="G34" s="13" t="s">
        <v>202</v>
      </c>
    </row>
    <row r="35" spans="1:7" x14ac:dyDescent="0.25">
      <c r="A35" s="40" t="s">
        <v>43</v>
      </c>
      <c r="B35" s="2" t="s">
        <v>52</v>
      </c>
      <c r="C35" s="35" t="s">
        <v>201</v>
      </c>
      <c r="D35" s="10" t="s">
        <v>197</v>
      </c>
      <c r="E35" s="46" t="s">
        <v>201</v>
      </c>
      <c r="F35" s="41" t="s">
        <v>36</v>
      </c>
      <c r="G35" s="13" t="s">
        <v>202</v>
      </c>
    </row>
    <row r="36" spans="1:7" x14ac:dyDescent="0.25">
      <c r="A36" s="40">
        <v>203076001000</v>
      </c>
      <c r="B36" s="2" t="s">
        <v>53</v>
      </c>
      <c r="C36" s="35" t="s">
        <v>36</v>
      </c>
      <c r="D36" s="10" t="s">
        <v>197</v>
      </c>
      <c r="E36" s="46" t="s">
        <v>201</v>
      </c>
      <c r="F36" s="41" t="s">
        <v>36</v>
      </c>
      <c r="G36" s="13" t="s">
        <v>202</v>
      </c>
    </row>
    <row r="37" spans="1:7" x14ac:dyDescent="0.25">
      <c r="A37" s="40" t="s">
        <v>44</v>
      </c>
      <c r="B37" s="2" t="s">
        <v>54</v>
      </c>
      <c r="C37" s="35" t="s">
        <v>36</v>
      </c>
      <c r="D37" s="10" t="s">
        <v>197</v>
      </c>
      <c r="E37" s="46" t="s">
        <v>201</v>
      </c>
      <c r="F37" s="41" t="s">
        <v>36</v>
      </c>
      <c r="G37" s="13" t="s">
        <v>202</v>
      </c>
    </row>
    <row r="38" spans="1:7" x14ac:dyDescent="0.25">
      <c r="A38" s="42" t="s">
        <v>207</v>
      </c>
      <c r="B38" s="2" t="s">
        <v>55</v>
      </c>
      <c r="C38" s="35" t="s">
        <v>36</v>
      </c>
      <c r="D38" s="12" t="s">
        <v>199</v>
      </c>
      <c r="E38" s="46" t="s">
        <v>201</v>
      </c>
      <c r="F38" s="41" t="s">
        <v>36</v>
      </c>
      <c r="G38" s="13" t="s">
        <v>202</v>
      </c>
    </row>
    <row r="39" spans="1:7" x14ac:dyDescent="0.25">
      <c r="A39" s="42" t="s">
        <v>208</v>
      </c>
      <c r="B39" s="2" t="s">
        <v>56</v>
      </c>
      <c r="C39" s="35" t="s">
        <v>36</v>
      </c>
      <c r="D39" s="12" t="s">
        <v>199</v>
      </c>
      <c r="E39" s="46" t="s">
        <v>201</v>
      </c>
      <c r="F39" s="41" t="s">
        <v>36</v>
      </c>
      <c r="G39" s="13" t="s">
        <v>202</v>
      </c>
    </row>
    <row r="40" spans="1:7" x14ac:dyDescent="0.25">
      <c r="A40" s="40" t="s">
        <v>45</v>
      </c>
      <c r="B40" s="2" t="s">
        <v>57</v>
      </c>
      <c r="C40" s="35" t="s">
        <v>36</v>
      </c>
      <c r="D40" s="12" t="s">
        <v>199</v>
      </c>
      <c r="E40" s="46" t="s">
        <v>201</v>
      </c>
      <c r="F40" s="41" t="s">
        <v>36</v>
      </c>
      <c r="G40" s="2" t="s">
        <v>36</v>
      </c>
    </row>
    <row r="41" spans="1:7" x14ac:dyDescent="0.25">
      <c r="A41" s="40" t="s">
        <v>46</v>
      </c>
      <c r="B41" s="2" t="s">
        <v>58</v>
      </c>
      <c r="C41" s="35" t="s">
        <v>36</v>
      </c>
      <c r="D41" s="10" t="s">
        <v>197</v>
      </c>
      <c r="E41" s="46" t="s">
        <v>36</v>
      </c>
      <c r="F41" s="50" t="s">
        <v>201</v>
      </c>
      <c r="G41" s="13" t="s">
        <v>202</v>
      </c>
    </row>
    <row r="42" spans="1:7" x14ac:dyDescent="0.25">
      <c r="A42" s="42" t="s">
        <v>209</v>
      </c>
      <c r="B42" s="2" t="s">
        <v>59</v>
      </c>
      <c r="C42" s="35" t="s">
        <v>36</v>
      </c>
      <c r="D42" s="10" t="s">
        <v>197</v>
      </c>
      <c r="E42" s="46" t="s">
        <v>201</v>
      </c>
      <c r="F42" s="50" t="s">
        <v>201</v>
      </c>
      <c r="G42" s="13" t="s">
        <v>202</v>
      </c>
    </row>
    <row r="43" spans="1:7" x14ac:dyDescent="0.25">
      <c r="A43" s="40" t="s">
        <v>47</v>
      </c>
      <c r="B43" s="2" t="s">
        <v>60</v>
      </c>
      <c r="C43" s="35" t="s">
        <v>201</v>
      </c>
      <c r="D43" s="10" t="s">
        <v>197</v>
      </c>
      <c r="E43" s="46" t="s">
        <v>201</v>
      </c>
      <c r="F43" s="50" t="s">
        <v>201</v>
      </c>
      <c r="G43" s="2" t="s">
        <v>36</v>
      </c>
    </row>
    <row r="44" spans="1:7" x14ac:dyDescent="0.25">
      <c r="A44" s="39" t="s">
        <v>2</v>
      </c>
      <c r="B44" s="9" t="s">
        <v>4</v>
      </c>
      <c r="C44" s="34" t="s">
        <v>203</v>
      </c>
      <c r="D44" s="8" t="s">
        <v>203</v>
      </c>
      <c r="E44" s="45" t="s">
        <v>203</v>
      </c>
      <c r="F44" s="49" t="s">
        <v>203</v>
      </c>
      <c r="G44" s="8" t="s">
        <v>203</v>
      </c>
    </row>
    <row r="45" spans="1:7" x14ac:dyDescent="0.25">
      <c r="A45" s="40" t="s">
        <v>61</v>
      </c>
      <c r="B45" s="14" t="s">
        <v>72</v>
      </c>
      <c r="C45" s="35" t="s">
        <v>36</v>
      </c>
      <c r="D45" s="10" t="s">
        <v>197</v>
      </c>
      <c r="E45" s="46" t="s">
        <v>36</v>
      </c>
      <c r="F45" s="41" t="s">
        <v>36</v>
      </c>
      <c r="G45" s="13" t="s">
        <v>202</v>
      </c>
    </row>
    <row r="46" spans="1:7" x14ac:dyDescent="0.25">
      <c r="A46" s="37" t="s">
        <v>204</v>
      </c>
      <c r="B46" s="2" t="s">
        <v>49</v>
      </c>
      <c r="C46" s="35" t="s">
        <v>36</v>
      </c>
      <c r="D46" s="10" t="s">
        <v>197</v>
      </c>
      <c r="E46" s="46" t="s">
        <v>201</v>
      </c>
      <c r="F46" s="41" t="s">
        <v>36</v>
      </c>
      <c r="G46" s="13" t="s">
        <v>202</v>
      </c>
    </row>
    <row r="47" spans="1:7" x14ac:dyDescent="0.25">
      <c r="A47" s="40" t="s">
        <v>62</v>
      </c>
      <c r="B47" s="2" t="s">
        <v>73</v>
      </c>
      <c r="C47" s="35" t="s">
        <v>201</v>
      </c>
      <c r="D47" s="10" t="s">
        <v>197</v>
      </c>
      <c r="E47" s="46" t="s">
        <v>201</v>
      </c>
      <c r="F47" s="50" t="s">
        <v>201</v>
      </c>
      <c r="G47" s="2" t="s">
        <v>36</v>
      </c>
    </row>
    <row r="48" spans="1:7" x14ac:dyDescent="0.25">
      <c r="A48" s="40" t="s">
        <v>63</v>
      </c>
      <c r="B48" s="2" t="s">
        <v>74</v>
      </c>
      <c r="C48" s="35" t="s">
        <v>201</v>
      </c>
      <c r="D48" s="12" t="s">
        <v>199</v>
      </c>
      <c r="E48" s="46" t="s">
        <v>201</v>
      </c>
      <c r="F48" s="41" t="s">
        <v>36</v>
      </c>
      <c r="G48" s="2" t="s">
        <v>36</v>
      </c>
    </row>
    <row r="49" spans="1:7" x14ac:dyDescent="0.25">
      <c r="A49" s="42" t="s">
        <v>205</v>
      </c>
      <c r="B49" s="2" t="s">
        <v>51</v>
      </c>
      <c r="C49" s="35" t="s">
        <v>36</v>
      </c>
      <c r="D49" s="10" t="s">
        <v>197</v>
      </c>
      <c r="E49" s="46" t="s">
        <v>36</v>
      </c>
      <c r="F49" s="50" t="s">
        <v>201</v>
      </c>
      <c r="G49" s="2" t="s">
        <v>36</v>
      </c>
    </row>
    <row r="50" spans="1:7" x14ac:dyDescent="0.25">
      <c r="A50" s="40" t="s">
        <v>64</v>
      </c>
      <c r="B50" s="2" t="s">
        <v>75</v>
      </c>
      <c r="C50" s="35" t="s">
        <v>36</v>
      </c>
      <c r="D50" s="10" t="s">
        <v>197</v>
      </c>
      <c r="E50" s="46" t="s">
        <v>36</v>
      </c>
      <c r="F50" s="50" t="s">
        <v>201</v>
      </c>
      <c r="G50" s="2" t="s">
        <v>36</v>
      </c>
    </row>
    <row r="51" spans="1:7" x14ac:dyDescent="0.25">
      <c r="A51" s="40" t="s">
        <v>44</v>
      </c>
      <c r="B51" s="2" t="s">
        <v>54</v>
      </c>
      <c r="C51" s="35" t="s">
        <v>36</v>
      </c>
      <c r="D51" s="10" t="s">
        <v>197</v>
      </c>
      <c r="E51" s="46" t="s">
        <v>201</v>
      </c>
      <c r="F51" s="50" t="s">
        <v>201</v>
      </c>
      <c r="G51" s="2" t="s">
        <v>36</v>
      </c>
    </row>
    <row r="52" spans="1:7" x14ac:dyDescent="0.25">
      <c r="A52" s="42" t="s">
        <v>206</v>
      </c>
      <c r="B52" s="2" t="s">
        <v>76</v>
      </c>
      <c r="C52" s="35" t="s">
        <v>36</v>
      </c>
      <c r="D52" s="12" t="s">
        <v>199</v>
      </c>
      <c r="E52" s="46" t="s">
        <v>201</v>
      </c>
      <c r="F52" s="41" t="s">
        <v>36</v>
      </c>
      <c r="G52" s="2" t="s">
        <v>36</v>
      </c>
    </row>
    <row r="53" spans="1:7" x14ac:dyDescent="0.25">
      <c r="A53" s="37" t="s">
        <v>207</v>
      </c>
      <c r="B53" s="2" t="s">
        <v>55</v>
      </c>
      <c r="C53" s="35" t="s">
        <v>36</v>
      </c>
      <c r="D53" s="12" t="s">
        <v>199</v>
      </c>
      <c r="E53" s="46" t="s">
        <v>201</v>
      </c>
      <c r="F53" s="41" t="s">
        <v>36</v>
      </c>
      <c r="G53" s="2" t="s">
        <v>36</v>
      </c>
    </row>
    <row r="54" spans="1:7" x14ac:dyDescent="0.25">
      <c r="A54" s="37" t="s">
        <v>208</v>
      </c>
      <c r="B54" s="2" t="s">
        <v>56</v>
      </c>
      <c r="C54" s="35" t="s">
        <v>36</v>
      </c>
      <c r="D54" s="12" t="s">
        <v>199</v>
      </c>
      <c r="E54" s="46" t="s">
        <v>201</v>
      </c>
      <c r="F54" s="41" t="s">
        <v>36</v>
      </c>
      <c r="G54" s="2" t="s">
        <v>36</v>
      </c>
    </row>
    <row r="55" spans="1:7" x14ac:dyDescent="0.25">
      <c r="A55" s="40" t="s">
        <v>65</v>
      </c>
      <c r="B55" s="2" t="s">
        <v>77</v>
      </c>
      <c r="C55" s="35" t="s">
        <v>36</v>
      </c>
      <c r="D55" s="10" t="s">
        <v>197</v>
      </c>
      <c r="E55" s="46" t="s">
        <v>36</v>
      </c>
      <c r="F55" s="50" t="s">
        <v>201</v>
      </c>
      <c r="G55" s="13" t="s">
        <v>202</v>
      </c>
    </row>
    <row r="56" spans="1:7" x14ac:dyDescent="0.25">
      <c r="A56" s="40" t="s">
        <v>46</v>
      </c>
      <c r="B56" s="2" t="s">
        <v>78</v>
      </c>
      <c r="C56" s="35" t="s">
        <v>36</v>
      </c>
      <c r="D56" s="10" t="s">
        <v>197</v>
      </c>
      <c r="E56" s="46" t="s">
        <v>36</v>
      </c>
      <c r="F56" s="50" t="s">
        <v>201</v>
      </c>
      <c r="G56" s="13" t="s">
        <v>202</v>
      </c>
    </row>
    <row r="57" spans="1:7" x14ac:dyDescent="0.25">
      <c r="A57" s="40">
        <v>203020004500</v>
      </c>
      <c r="B57" s="2" t="s">
        <v>79</v>
      </c>
      <c r="C57" s="35" t="s">
        <v>201</v>
      </c>
      <c r="D57" s="12" t="s">
        <v>199</v>
      </c>
      <c r="E57" s="46" t="s">
        <v>201</v>
      </c>
      <c r="F57" s="41" t="s">
        <v>36</v>
      </c>
      <c r="G57" s="2" t="s">
        <v>36</v>
      </c>
    </row>
    <row r="58" spans="1:7" x14ac:dyDescent="0.25">
      <c r="A58" s="40" t="s">
        <v>66</v>
      </c>
      <c r="B58" s="2" t="s">
        <v>80</v>
      </c>
      <c r="C58" s="35" t="s">
        <v>36</v>
      </c>
      <c r="D58" s="10" t="s">
        <v>197</v>
      </c>
      <c r="E58" s="46" t="s">
        <v>36</v>
      </c>
      <c r="F58" s="41" t="s">
        <v>36</v>
      </c>
      <c r="G58" s="13" t="s">
        <v>202</v>
      </c>
    </row>
    <row r="59" spans="1:7" x14ac:dyDescent="0.25">
      <c r="A59" s="42" t="s">
        <v>209</v>
      </c>
      <c r="B59" s="2" t="s">
        <v>81</v>
      </c>
      <c r="C59" s="35" t="s">
        <v>36</v>
      </c>
      <c r="D59" s="10" t="s">
        <v>197</v>
      </c>
      <c r="E59" s="46" t="s">
        <v>201</v>
      </c>
      <c r="F59" s="50" t="s">
        <v>201</v>
      </c>
      <c r="G59" s="2" t="s">
        <v>36</v>
      </c>
    </row>
    <row r="60" spans="1:7" x14ac:dyDescent="0.25">
      <c r="A60" s="40">
        <v>203065094300</v>
      </c>
      <c r="B60" s="2" t="s">
        <v>82</v>
      </c>
      <c r="C60" s="35" t="s">
        <v>36</v>
      </c>
      <c r="D60" s="10" t="s">
        <v>197</v>
      </c>
      <c r="E60" s="46" t="s">
        <v>36</v>
      </c>
      <c r="F60" s="50" t="s">
        <v>201</v>
      </c>
      <c r="G60" s="2" t="s">
        <v>36</v>
      </c>
    </row>
    <row r="61" spans="1:7" x14ac:dyDescent="0.25">
      <c r="A61" s="40" t="s">
        <v>67</v>
      </c>
      <c r="B61" s="2" t="s">
        <v>83</v>
      </c>
      <c r="C61" s="35" t="s">
        <v>201</v>
      </c>
      <c r="D61" s="12" t="s">
        <v>199</v>
      </c>
      <c r="E61" s="46" t="s">
        <v>201</v>
      </c>
      <c r="F61" s="41" t="s">
        <v>36</v>
      </c>
      <c r="G61" s="2" t="s">
        <v>36</v>
      </c>
    </row>
    <row r="62" spans="1:7" x14ac:dyDescent="0.25">
      <c r="A62" s="40" t="s">
        <v>68</v>
      </c>
      <c r="B62" s="2" t="s">
        <v>84</v>
      </c>
      <c r="C62" s="35" t="s">
        <v>201</v>
      </c>
      <c r="D62" s="12" t="s">
        <v>199</v>
      </c>
      <c r="E62" s="46" t="s">
        <v>201</v>
      </c>
      <c r="F62" s="41" t="s">
        <v>36</v>
      </c>
      <c r="G62" s="2" t="s">
        <v>36</v>
      </c>
    </row>
    <row r="63" spans="1:7" x14ac:dyDescent="0.25">
      <c r="A63" s="40" t="s">
        <v>69</v>
      </c>
      <c r="B63" s="2" t="s">
        <v>49</v>
      </c>
      <c r="C63" s="35" t="s">
        <v>201</v>
      </c>
      <c r="D63" s="12" t="s">
        <v>199</v>
      </c>
      <c r="E63" s="46" t="s">
        <v>201</v>
      </c>
      <c r="F63" s="41" t="s">
        <v>36</v>
      </c>
      <c r="G63" s="2" t="s">
        <v>36</v>
      </c>
    </row>
    <row r="64" spans="1:7" x14ac:dyDescent="0.25">
      <c r="A64" s="40" t="s">
        <v>70</v>
      </c>
      <c r="B64" s="2" t="s">
        <v>85</v>
      </c>
      <c r="C64" s="35" t="s">
        <v>201</v>
      </c>
      <c r="D64" s="10" t="s">
        <v>197</v>
      </c>
      <c r="E64" s="46" t="s">
        <v>201</v>
      </c>
      <c r="F64" s="41" t="s">
        <v>36</v>
      </c>
      <c r="G64" s="13" t="s">
        <v>202</v>
      </c>
    </row>
    <row r="65" spans="1:7" x14ac:dyDescent="0.25">
      <c r="A65" s="40" t="s">
        <v>71</v>
      </c>
      <c r="B65" s="2" t="s">
        <v>86</v>
      </c>
      <c r="C65" s="35" t="s">
        <v>36</v>
      </c>
      <c r="D65" s="12" t="s">
        <v>199</v>
      </c>
      <c r="E65" s="46" t="s">
        <v>36</v>
      </c>
      <c r="F65" s="41" t="s">
        <v>36</v>
      </c>
      <c r="G65" s="2" t="s">
        <v>36</v>
      </c>
    </row>
    <row r="66" spans="1:7" x14ac:dyDescent="0.25">
      <c r="A66" s="39" t="s">
        <v>11</v>
      </c>
      <c r="B66" s="9" t="s">
        <v>5</v>
      </c>
      <c r="C66" s="34" t="s">
        <v>203</v>
      </c>
      <c r="D66" s="8" t="s">
        <v>203</v>
      </c>
      <c r="E66" s="45" t="s">
        <v>203</v>
      </c>
      <c r="F66" s="49" t="s">
        <v>203</v>
      </c>
      <c r="G66" s="8" t="s">
        <v>203</v>
      </c>
    </row>
    <row r="67" spans="1:7" x14ac:dyDescent="0.25">
      <c r="A67" s="40">
        <v>203058026700</v>
      </c>
      <c r="B67" s="14" t="s">
        <v>92</v>
      </c>
      <c r="C67" s="35" t="s">
        <v>36</v>
      </c>
      <c r="D67" s="10" t="s">
        <v>197</v>
      </c>
      <c r="E67" s="46" t="s">
        <v>36</v>
      </c>
      <c r="F67" s="41" t="s">
        <v>36</v>
      </c>
      <c r="G67" s="13" t="s">
        <v>202</v>
      </c>
    </row>
    <row r="68" spans="1:7" x14ac:dyDescent="0.25">
      <c r="A68" s="40">
        <v>203012000100</v>
      </c>
      <c r="B68" s="14" t="s">
        <v>93</v>
      </c>
      <c r="C68" s="35" t="s">
        <v>36</v>
      </c>
      <c r="D68" s="12" t="s">
        <v>199</v>
      </c>
      <c r="E68" s="46" t="s">
        <v>201</v>
      </c>
      <c r="F68" s="41" t="s">
        <v>36</v>
      </c>
      <c r="G68" s="2" t="s">
        <v>36</v>
      </c>
    </row>
    <row r="69" spans="1:7" x14ac:dyDescent="0.25">
      <c r="A69" s="40">
        <v>203038001900</v>
      </c>
      <c r="B69" s="14" t="s">
        <v>37</v>
      </c>
      <c r="C69" s="35" t="s">
        <v>36</v>
      </c>
      <c r="D69" s="12" t="s">
        <v>199</v>
      </c>
      <c r="E69" s="46" t="s">
        <v>36</v>
      </c>
      <c r="F69" s="41" t="s">
        <v>36</v>
      </c>
      <c r="G69" s="2" t="s">
        <v>36</v>
      </c>
    </row>
    <row r="70" spans="1:7" x14ac:dyDescent="0.25">
      <c r="A70" s="40">
        <v>203012000200</v>
      </c>
      <c r="B70" s="14" t="s">
        <v>94</v>
      </c>
      <c r="C70" s="35" t="s">
        <v>36</v>
      </c>
      <c r="D70" s="12" t="s">
        <v>199</v>
      </c>
      <c r="E70" s="46" t="s">
        <v>201</v>
      </c>
      <c r="F70" s="41" t="s">
        <v>36</v>
      </c>
      <c r="G70" s="2" t="s">
        <v>36</v>
      </c>
    </row>
    <row r="71" spans="1:7" x14ac:dyDescent="0.25">
      <c r="A71" s="40">
        <v>203038002400</v>
      </c>
      <c r="B71" s="14" t="s">
        <v>37</v>
      </c>
      <c r="C71" s="35" t="s">
        <v>36</v>
      </c>
      <c r="D71" s="12" t="s">
        <v>199</v>
      </c>
      <c r="E71" s="46" t="s">
        <v>36</v>
      </c>
      <c r="F71" s="41" t="s">
        <v>36</v>
      </c>
      <c r="G71" s="2" t="s">
        <v>36</v>
      </c>
    </row>
    <row r="72" spans="1:7" x14ac:dyDescent="0.25">
      <c r="A72" s="40" t="s">
        <v>91</v>
      </c>
      <c r="B72" s="14" t="s">
        <v>78</v>
      </c>
      <c r="C72" s="35" t="s">
        <v>36</v>
      </c>
      <c r="D72" s="10" t="s">
        <v>197</v>
      </c>
      <c r="E72" s="46" t="s">
        <v>36</v>
      </c>
      <c r="F72" s="41" t="s">
        <v>36</v>
      </c>
      <c r="G72" s="13" t="s">
        <v>202</v>
      </c>
    </row>
    <row r="73" spans="1:7" x14ac:dyDescent="0.25">
      <c r="A73" s="40">
        <v>203065027700</v>
      </c>
      <c r="B73" s="14" t="s">
        <v>95</v>
      </c>
      <c r="C73" s="35" t="s">
        <v>201</v>
      </c>
      <c r="D73" s="10" t="s">
        <v>197</v>
      </c>
      <c r="E73" s="46" t="s">
        <v>201</v>
      </c>
      <c r="F73" s="41" t="s">
        <v>36</v>
      </c>
      <c r="G73" s="13" t="s">
        <v>202</v>
      </c>
    </row>
    <row r="74" spans="1:7" x14ac:dyDescent="0.25">
      <c r="A74" s="39" t="s">
        <v>13</v>
      </c>
      <c r="B74" s="9" t="s">
        <v>7</v>
      </c>
      <c r="C74" s="34" t="s">
        <v>203</v>
      </c>
      <c r="D74" s="8" t="s">
        <v>203</v>
      </c>
      <c r="E74" s="45" t="s">
        <v>203</v>
      </c>
      <c r="F74" s="49" t="s">
        <v>203</v>
      </c>
      <c r="G74" s="8" t="s">
        <v>203</v>
      </c>
    </row>
    <row r="75" spans="1:7" x14ac:dyDescent="0.25">
      <c r="A75" s="40" t="s">
        <v>102</v>
      </c>
      <c r="B75" s="14" t="s">
        <v>96</v>
      </c>
      <c r="C75" s="35" t="s">
        <v>36</v>
      </c>
      <c r="D75" s="10" t="s">
        <v>197</v>
      </c>
      <c r="E75" s="46" t="s">
        <v>201</v>
      </c>
      <c r="F75" s="50" t="s">
        <v>201</v>
      </c>
      <c r="G75" s="13" t="s">
        <v>202</v>
      </c>
    </row>
    <row r="76" spans="1:7" x14ac:dyDescent="0.25">
      <c r="A76" s="40">
        <v>203052001000</v>
      </c>
      <c r="B76" s="14" t="s">
        <v>97</v>
      </c>
      <c r="C76" s="35" t="s">
        <v>36</v>
      </c>
      <c r="D76" s="12" t="s">
        <v>199</v>
      </c>
      <c r="E76" s="46" t="s">
        <v>36</v>
      </c>
      <c r="F76" s="41" t="s">
        <v>36</v>
      </c>
      <c r="G76" s="2" t="s">
        <v>36</v>
      </c>
    </row>
    <row r="77" spans="1:7" x14ac:dyDescent="0.25">
      <c r="A77" s="40" t="s">
        <v>103</v>
      </c>
      <c r="B77" s="14" t="s">
        <v>49</v>
      </c>
      <c r="C77" s="35" t="s">
        <v>36</v>
      </c>
      <c r="D77" s="10" t="s">
        <v>197</v>
      </c>
      <c r="E77" s="46" t="s">
        <v>201</v>
      </c>
      <c r="F77" s="50" t="s">
        <v>201</v>
      </c>
      <c r="G77" s="2" t="s">
        <v>36</v>
      </c>
    </row>
    <row r="78" spans="1:7" x14ac:dyDescent="0.25">
      <c r="A78" s="40" t="s">
        <v>104</v>
      </c>
      <c r="B78" s="14" t="s">
        <v>98</v>
      </c>
      <c r="C78" s="35" t="s">
        <v>36</v>
      </c>
      <c r="D78" s="10" t="s">
        <v>197</v>
      </c>
      <c r="E78" s="46" t="s">
        <v>36</v>
      </c>
      <c r="F78" s="50" t="s">
        <v>201</v>
      </c>
      <c r="G78" s="13" t="s">
        <v>202</v>
      </c>
    </row>
    <row r="79" spans="1:7" x14ac:dyDescent="0.25">
      <c r="A79" s="40" t="s">
        <v>105</v>
      </c>
      <c r="B79" s="14" t="s">
        <v>99</v>
      </c>
      <c r="C79" s="35" t="s">
        <v>36</v>
      </c>
      <c r="D79" s="12" t="s">
        <v>199</v>
      </c>
      <c r="E79" s="46" t="s">
        <v>36</v>
      </c>
      <c r="F79" s="41" t="s">
        <v>36</v>
      </c>
      <c r="G79" s="2" t="s">
        <v>36</v>
      </c>
    </row>
    <row r="80" spans="1:7" x14ac:dyDescent="0.25">
      <c r="A80" s="40">
        <v>260001001500</v>
      </c>
      <c r="B80" s="14" t="s">
        <v>100</v>
      </c>
      <c r="C80" s="35" t="s">
        <v>36</v>
      </c>
      <c r="D80" s="10" t="s">
        <v>197</v>
      </c>
      <c r="E80" s="46" t="s">
        <v>36</v>
      </c>
      <c r="F80" s="50" t="s">
        <v>201</v>
      </c>
      <c r="G80" s="2" t="s">
        <v>36</v>
      </c>
    </row>
    <row r="81" spans="1:7" x14ac:dyDescent="0.25">
      <c r="A81" s="40" t="s">
        <v>106</v>
      </c>
      <c r="B81" s="14" t="s">
        <v>101</v>
      </c>
      <c r="C81" s="35" t="s">
        <v>36</v>
      </c>
      <c r="D81" s="12" t="s">
        <v>199</v>
      </c>
      <c r="E81" s="46" t="s">
        <v>36</v>
      </c>
      <c r="F81" s="41" t="s">
        <v>36</v>
      </c>
      <c r="G81" s="2" t="s">
        <v>36</v>
      </c>
    </row>
    <row r="82" spans="1:7" x14ac:dyDescent="0.25">
      <c r="A82" s="39">
        <v>260001001500</v>
      </c>
      <c r="B82" s="15" t="s">
        <v>107</v>
      </c>
      <c r="C82" s="34" t="s">
        <v>203</v>
      </c>
      <c r="D82" s="8" t="s">
        <v>203</v>
      </c>
      <c r="E82" s="45" t="s">
        <v>203</v>
      </c>
      <c r="F82" s="49" t="s">
        <v>203</v>
      </c>
      <c r="G82" s="8" t="s">
        <v>203</v>
      </c>
    </row>
    <row r="83" spans="1:7" x14ac:dyDescent="0.25">
      <c r="A83" s="42" t="s">
        <v>212</v>
      </c>
      <c r="B83" s="14" t="s">
        <v>109</v>
      </c>
      <c r="C83" s="35" t="s">
        <v>36</v>
      </c>
      <c r="D83" s="10" t="s">
        <v>197</v>
      </c>
      <c r="E83" s="46" t="s">
        <v>36</v>
      </c>
      <c r="F83" s="41" t="s">
        <v>36</v>
      </c>
      <c r="G83" s="13" t="s">
        <v>202</v>
      </c>
    </row>
    <row r="84" spans="1:7" x14ac:dyDescent="0.25">
      <c r="A84" s="42" t="s">
        <v>213</v>
      </c>
      <c r="B84" s="14" t="s">
        <v>110</v>
      </c>
      <c r="C84" s="35" t="s">
        <v>36</v>
      </c>
      <c r="D84" s="10" t="s">
        <v>197</v>
      </c>
      <c r="E84" s="46" t="s">
        <v>36</v>
      </c>
      <c r="F84" s="50" t="s">
        <v>201</v>
      </c>
      <c r="G84" s="2" t="s">
        <v>36</v>
      </c>
    </row>
    <row r="85" spans="1:7" x14ac:dyDescent="0.25">
      <c r="A85" s="42" t="s">
        <v>214</v>
      </c>
      <c r="B85" s="14" t="s">
        <v>111</v>
      </c>
      <c r="C85" s="35" t="s">
        <v>36</v>
      </c>
      <c r="D85" s="10" t="s">
        <v>197</v>
      </c>
      <c r="E85" s="46" t="s">
        <v>36</v>
      </c>
      <c r="F85" s="50" t="s">
        <v>201</v>
      </c>
      <c r="G85" s="2" t="s">
        <v>36</v>
      </c>
    </row>
    <row r="86" spans="1:7" x14ac:dyDescent="0.25">
      <c r="A86" s="42" t="s">
        <v>215</v>
      </c>
      <c r="B86" s="14" t="s">
        <v>112</v>
      </c>
      <c r="C86" s="35" t="s">
        <v>36</v>
      </c>
      <c r="D86" s="10" t="s">
        <v>197</v>
      </c>
      <c r="E86" s="46" t="s">
        <v>36</v>
      </c>
      <c r="F86" s="50" t="s">
        <v>201</v>
      </c>
      <c r="G86" s="2" t="s">
        <v>36</v>
      </c>
    </row>
    <row r="87" spans="1:7" x14ac:dyDescent="0.25">
      <c r="A87" s="42" t="s">
        <v>216</v>
      </c>
      <c r="B87" s="14" t="s">
        <v>113</v>
      </c>
      <c r="C87" s="35" t="s">
        <v>36</v>
      </c>
      <c r="D87" s="10" t="s">
        <v>197</v>
      </c>
      <c r="E87" s="46" t="s">
        <v>36</v>
      </c>
      <c r="F87" s="50" t="s">
        <v>201</v>
      </c>
      <c r="G87" s="2" t="s">
        <v>36</v>
      </c>
    </row>
    <row r="88" spans="1:7" x14ac:dyDescent="0.25">
      <c r="A88" s="42" t="s">
        <v>217</v>
      </c>
      <c r="B88" s="14" t="s">
        <v>114</v>
      </c>
      <c r="C88" s="35" t="s">
        <v>36</v>
      </c>
      <c r="D88" s="10" t="s">
        <v>197</v>
      </c>
      <c r="E88" s="46" t="s">
        <v>36</v>
      </c>
      <c r="F88" s="50" t="s">
        <v>201</v>
      </c>
      <c r="G88" s="2" t="s">
        <v>36</v>
      </c>
    </row>
    <row r="89" spans="1:7" x14ac:dyDescent="0.25">
      <c r="A89" s="42" t="s">
        <v>218</v>
      </c>
      <c r="B89" s="14" t="s">
        <v>115</v>
      </c>
      <c r="C89" s="35" t="s">
        <v>36</v>
      </c>
      <c r="D89" s="10" t="s">
        <v>197</v>
      </c>
      <c r="E89" s="46" t="s">
        <v>36</v>
      </c>
      <c r="F89" s="50" t="s">
        <v>201</v>
      </c>
      <c r="G89" s="2" t="s">
        <v>36</v>
      </c>
    </row>
    <row r="90" spans="1:7" x14ac:dyDescent="0.25">
      <c r="A90" s="42" t="s">
        <v>219</v>
      </c>
      <c r="B90" s="14" t="s">
        <v>116</v>
      </c>
      <c r="C90" s="35" t="s">
        <v>36</v>
      </c>
      <c r="D90" s="10" t="s">
        <v>197</v>
      </c>
      <c r="E90" s="46" t="s">
        <v>36</v>
      </c>
      <c r="F90" s="50" t="s">
        <v>201</v>
      </c>
      <c r="G90" s="2" t="s">
        <v>36</v>
      </c>
    </row>
    <row r="91" spans="1:7" x14ac:dyDescent="0.25">
      <c r="A91" s="42" t="s">
        <v>220</v>
      </c>
      <c r="B91" s="14" t="s">
        <v>117</v>
      </c>
      <c r="C91" s="35" t="s">
        <v>36</v>
      </c>
      <c r="D91" s="10" t="s">
        <v>197</v>
      </c>
      <c r="E91" s="46" t="s">
        <v>36</v>
      </c>
      <c r="F91" s="50" t="s">
        <v>201</v>
      </c>
      <c r="G91" s="2" t="s">
        <v>36</v>
      </c>
    </row>
    <row r="92" spans="1:7" x14ac:dyDescent="0.25">
      <c r="A92" s="42" t="s">
        <v>221</v>
      </c>
      <c r="B92" s="14" t="s">
        <v>118</v>
      </c>
      <c r="C92" s="35" t="s">
        <v>36</v>
      </c>
      <c r="D92" s="10" t="s">
        <v>197</v>
      </c>
      <c r="E92" s="46" t="s">
        <v>36</v>
      </c>
      <c r="F92" s="50" t="s">
        <v>201</v>
      </c>
      <c r="G92" s="2" t="s">
        <v>36</v>
      </c>
    </row>
    <row r="93" spans="1:7" x14ac:dyDescent="0.25">
      <c r="A93" s="42" t="s">
        <v>222</v>
      </c>
      <c r="B93" s="14" t="s">
        <v>119</v>
      </c>
      <c r="C93" s="35" t="s">
        <v>36</v>
      </c>
      <c r="D93" s="10" t="s">
        <v>197</v>
      </c>
      <c r="E93" s="46" t="s">
        <v>201</v>
      </c>
      <c r="F93" s="50" t="s">
        <v>201</v>
      </c>
      <c r="G93" s="2" t="s">
        <v>36</v>
      </c>
    </row>
    <row r="94" spans="1:7" x14ac:dyDescent="0.25">
      <c r="A94" s="42" t="s">
        <v>223</v>
      </c>
      <c r="B94" s="14" t="s">
        <v>120</v>
      </c>
      <c r="C94" s="35" t="s">
        <v>36</v>
      </c>
      <c r="D94" s="10" t="s">
        <v>197</v>
      </c>
      <c r="E94" s="46" t="s">
        <v>201</v>
      </c>
      <c r="F94" s="41" t="s">
        <v>36</v>
      </c>
      <c r="G94" s="13" t="s">
        <v>202</v>
      </c>
    </row>
    <row r="95" spans="1:7" x14ac:dyDescent="0.25">
      <c r="A95" s="42" t="s">
        <v>224</v>
      </c>
      <c r="B95" s="14" t="s">
        <v>121</v>
      </c>
      <c r="C95" s="35" t="s">
        <v>36</v>
      </c>
      <c r="D95" s="10" t="s">
        <v>197</v>
      </c>
      <c r="E95" s="46" t="s">
        <v>201</v>
      </c>
      <c r="F95" s="50" t="s">
        <v>201</v>
      </c>
      <c r="G95" s="2" t="s">
        <v>36</v>
      </c>
    </row>
    <row r="96" spans="1:7" x14ac:dyDescent="0.25">
      <c r="A96" s="42" t="s">
        <v>225</v>
      </c>
      <c r="B96" s="14" t="s">
        <v>122</v>
      </c>
      <c r="C96" s="35" t="s">
        <v>36</v>
      </c>
      <c r="D96" s="10" t="s">
        <v>197</v>
      </c>
      <c r="E96" s="46" t="s">
        <v>201</v>
      </c>
      <c r="F96" s="50" t="s">
        <v>201</v>
      </c>
      <c r="G96" s="2" t="s">
        <v>36</v>
      </c>
    </row>
    <row r="97" spans="1:7" x14ac:dyDescent="0.25">
      <c r="A97" s="40">
        <v>203004005000</v>
      </c>
      <c r="B97" s="14" t="s">
        <v>123</v>
      </c>
      <c r="C97" s="35" t="s">
        <v>36</v>
      </c>
      <c r="D97" s="10" t="s">
        <v>197</v>
      </c>
      <c r="E97" s="46" t="s">
        <v>36</v>
      </c>
      <c r="F97" s="41" t="s">
        <v>36</v>
      </c>
      <c r="G97" s="13" t="s">
        <v>202</v>
      </c>
    </row>
    <row r="98" spans="1:7" x14ac:dyDescent="0.25">
      <c r="A98" s="40">
        <v>203006002300</v>
      </c>
      <c r="B98" s="14" t="s">
        <v>124</v>
      </c>
      <c r="C98" s="35" t="s">
        <v>36</v>
      </c>
      <c r="D98" s="10" t="s">
        <v>197</v>
      </c>
      <c r="E98" s="46" t="s">
        <v>201</v>
      </c>
      <c r="F98" s="41" t="s">
        <v>36</v>
      </c>
      <c r="G98" s="13" t="s">
        <v>202</v>
      </c>
    </row>
    <row r="99" spans="1:7" x14ac:dyDescent="0.25">
      <c r="A99" s="40">
        <v>203006002400</v>
      </c>
      <c r="B99" s="14" t="s">
        <v>125</v>
      </c>
      <c r="C99" s="35" t="s">
        <v>36</v>
      </c>
      <c r="D99" s="10" t="s">
        <v>197</v>
      </c>
      <c r="E99" s="46" t="s">
        <v>201</v>
      </c>
      <c r="F99" s="41" t="s">
        <v>36</v>
      </c>
      <c r="G99" s="13" t="s">
        <v>202</v>
      </c>
    </row>
    <row r="100" spans="1:7" x14ac:dyDescent="0.25">
      <c r="A100" s="40">
        <v>203009002700</v>
      </c>
      <c r="B100" s="14" t="s">
        <v>126</v>
      </c>
      <c r="C100" s="35" t="s">
        <v>36</v>
      </c>
      <c r="D100" s="10" t="s">
        <v>197</v>
      </c>
      <c r="E100" s="46" t="s">
        <v>201</v>
      </c>
      <c r="F100" s="50" t="s">
        <v>201</v>
      </c>
      <c r="G100" s="2" t="s">
        <v>36</v>
      </c>
    </row>
    <row r="101" spans="1:7" x14ac:dyDescent="0.25">
      <c r="A101" s="40">
        <v>203009002800</v>
      </c>
      <c r="B101" s="14" t="s">
        <v>126</v>
      </c>
      <c r="C101" s="35" t="s">
        <v>36</v>
      </c>
      <c r="D101" s="10" t="s">
        <v>197</v>
      </c>
      <c r="E101" s="46" t="s">
        <v>201</v>
      </c>
      <c r="F101" s="50" t="s">
        <v>201</v>
      </c>
      <c r="G101" s="2" t="s">
        <v>36</v>
      </c>
    </row>
    <row r="102" spans="1:7" x14ac:dyDescent="0.25">
      <c r="A102" s="40">
        <v>203014025500</v>
      </c>
      <c r="B102" s="14" t="s">
        <v>127</v>
      </c>
      <c r="C102" s="35" t="s">
        <v>36</v>
      </c>
      <c r="D102" s="12" t="s">
        <v>199</v>
      </c>
      <c r="E102" s="46" t="s">
        <v>201</v>
      </c>
      <c r="F102" s="41" t="s">
        <v>36</v>
      </c>
      <c r="G102" s="2" t="s">
        <v>36</v>
      </c>
    </row>
    <row r="103" spans="1:7" x14ac:dyDescent="0.25">
      <c r="A103" s="40">
        <v>203014030000</v>
      </c>
      <c r="B103" s="14" t="s">
        <v>128</v>
      </c>
      <c r="C103" s="35" t="s">
        <v>36</v>
      </c>
      <c r="D103" s="12" t="s">
        <v>199</v>
      </c>
      <c r="E103" s="46" t="s">
        <v>36</v>
      </c>
      <c r="F103" s="41" t="s">
        <v>36</v>
      </c>
      <c r="G103" s="2" t="s">
        <v>36</v>
      </c>
    </row>
    <row r="104" spans="1:7" x14ac:dyDescent="0.25">
      <c r="A104" s="40">
        <v>203046020900</v>
      </c>
      <c r="B104" s="14" t="s">
        <v>129</v>
      </c>
      <c r="C104" s="35" t="s">
        <v>36</v>
      </c>
      <c r="D104" s="10" t="s">
        <v>197</v>
      </c>
      <c r="E104" s="46" t="s">
        <v>201</v>
      </c>
      <c r="F104" s="50" t="s">
        <v>201</v>
      </c>
      <c r="G104" s="13" t="s">
        <v>202</v>
      </c>
    </row>
    <row r="105" spans="1:7" x14ac:dyDescent="0.25">
      <c r="A105" s="40">
        <v>203046021000</v>
      </c>
      <c r="B105" s="14" t="s">
        <v>130</v>
      </c>
      <c r="C105" s="35" t="s">
        <v>36</v>
      </c>
      <c r="D105" s="10" t="s">
        <v>197</v>
      </c>
      <c r="E105" s="46" t="s">
        <v>36</v>
      </c>
      <c r="F105" s="50" t="s">
        <v>201</v>
      </c>
      <c r="G105" s="13" t="s">
        <v>202</v>
      </c>
    </row>
    <row r="106" spans="1:7" x14ac:dyDescent="0.25">
      <c r="A106" s="40">
        <v>203059000200</v>
      </c>
      <c r="B106" s="14" t="s">
        <v>131</v>
      </c>
      <c r="C106" s="35" t="s">
        <v>36</v>
      </c>
      <c r="D106" s="10" t="s">
        <v>197</v>
      </c>
      <c r="E106" s="46" t="s">
        <v>201</v>
      </c>
      <c r="F106" s="50" t="s">
        <v>201</v>
      </c>
      <c r="G106" s="13" t="s">
        <v>202</v>
      </c>
    </row>
    <row r="107" spans="1:7" x14ac:dyDescent="0.25">
      <c r="A107" s="40">
        <v>203061002100</v>
      </c>
      <c r="B107" s="14" t="s">
        <v>132</v>
      </c>
      <c r="C107" s="35" t="s">
        <v>36</v>
      </c>
      <c r="D107" s="10" t="s">
        <v>197</v>
      </c>
      <c r="E107" s="46" t="s">
        <v>36</v>
      </c>
      <c r="F107" s="50" t="s">
        <v>201</v>
      </c>
      <c r="G107" s="13" t="s">
        <v>202</v>
      </c>
    </row>
    <row r="108" spans="1:7" x14ac:dyDescent="0.25">
      <c r="A108" s="40">
        <v>203063010000</v>
      </c>
      <c r="B108" s="14" t="s">
        <v>133</v>
      </c>
      <c r="C108" s="35" t="s">
        <v>36</v>
      </c>
      <c r="D108" s="10" t="s">
        <v>197</v>
      </c>
      <c r="E108" s="46" t="s">
        <v>36</v>
      </c>
      <c r="F108" s="41" t="s">
        <v>36</v>
      </c>
      <c r="G108" s="13" t="s">
        <v>202</v>
      </c>
    </row>
    <row r="109" spans="1:7" x14ac:dyDescent="0.25">
      <c r="A109" s="40">
        <v>203065039400</v>
      </c>
      <c r="B109" s="14" t="s">
        <v>108</v>
      </c>
      <c r="C109" s="35" t="s">
        <v>36</v>
      </c>
      <c r="D109" s="10" t="s">
        <v>197</v>
      </c>
      <c r="E109" s="46" t="s">
        <v>201</v>
      </c>
      <c r="F109" s="41" t="s">
        <v>36</v>
      </c>
      <c r="G109" s="13" t="s">
        <v>202</v>
      </c>
    </row>
    <row r="110" spans="1:7" x14ac:dyDescent="0.25">
      <c r="A110" s="40">
        <v>203065039500</v>
      </c>
      <c r="B110" s="14" t="s">
        <v>108</v>
      </c>
      <c r="C110" s="35" t="s">
        <v>36</v>
      </c>
      <c r="D110" s="10" t="s">
        <v>197</v>
      </c>
      <c r="E110" s="46" t="s">
        <v>201</v>
      </c>
      <c r="F110" s="41" t="s">
        <v>36</v>
      </c>
      <c r="G110" s="13" t="s">
        <v>202</v>
      </c>
    </row>
    <row r="111" spans="1:7" x14ac:dyDescent="0.25">
      <c r="A111" s="39" t="s">
        <v>14</v>
      </c>
      <c r="B111" s="15" t="s">
        <v>134</v>
      </c>
      <c r="C111" s="34" t="s">
        <v>203</v>
      </c>
      <c r="D111" s="8" t="s">
        <v>203</v>
      </c>
      <c r="E111" s="45" t="s">
        <v>203</v>
      </c>
      <c r="F111" s="49" t="s">
        <v>203</v>
      </c>
      <c r="G111" s="8" t="s">
        <v>203</v>
      </c>
    </row>
    <row r="112" spans="1:7" x14ac:dyDescent="0.25">
      <c r="A112" s="40">
        <v>260024000100</v>
      </c>
      <c r="B112" s="14" t="s">
        <v>140</v>
      </c>
      <c r="C112" s="35" t="s">
        <v>36</v>
      </c>
      <c r="D112" s="10" t="s">
        <v>197</v>
      </c>
      <c r="E112" s="46" t="s">
        <v>201</v>
      </c>
      <c r="F112" s="41" t="s">
        <v>36</v>
      </c>
      <c r="G112" s="13" t="s">
        <v>202</v>
      </c>
    </row>
    <row r="113" spans="1:7" x14ac:dyDescent="0.25">
      <c r="A113" s="40" t="s">
        <v>136</v>
      </c>
      <c r="B113" s="14" t="s">
        <v>141</v>
      </c>
      <c r="C113" s="35" t="s">
        <v>36</v>
      </c>
      <c r="D113" s="10" t="s">
        <v>197</v>
      </c>
      <c r="E113" s="46" t="s">
        <v>36</v>
      </c>
      <c r="F113" s="41" t="s">
        <v>36</v>
      </c>
      <c r="G113" s="13" t="s">
        <v>202</v>
      </c>
    </row>
    <row r="114" spans="1:7" x14ac:dyDescent="0.25">
      <c r="A114" s="42" t="s">
        <v>227</v>
      </c>
      <c r="B114" s="14" t="s">
        <v>142</v>
      </c>
      <c r="C114" s="35" t="s">
        <v>36</v>
      </c>
      <c r="D114" s="10" t="s">
        <v>197</v>
      </c>
      <c r="E114" s="46" t="s">
        <v>201</v>
      </c>
      <c r="F114" s="41" t="s">
        <v>36</v>
      </c>
      <c r="G114" s="13" t="s">
        <v>202</v>
      </c>
    </row>
    <row r="115" spans="1:7" x14ac:dyDescent="0.25">
      <c r="A115" s="42" t="s">
        <v>226</v>
      </c>
      <c r="B115" s="14" t="s">
        <v>143</v>
      </c>
      <c r="C115" s="35" t="s">
        <v>36</v>
      </c>
      <c r="D115" s="10" t="s">
        <v>197</v>
      </c>
      <c r="E115" s="46" t="s">
        <v>201</v>
      </c>
      <c r="F115" s="50" t="s">
        <v>201</v>
      </c>
      <c r="G115" s="13" t="s">
        <v>202</v>
      </c>
    </row>
    <row r="116" spans="1:7" x14ac:dyDescent="0.25">
      <c r="A116" s="40" t="s">
        <v>103</v>
      </c>
      <c r="B116" s="14" t="s">
        <v>49</v>
      </c>
      <c r="C116" s="35" t="s">
        <v>36</v>
      </c>
      <c r="D116" s="10" t="s">
        <v>197</v>
      </c>
      <c r="E116" s="46" t="s">
        <v>201</v>
      </c>
      <c r="F116" s="41" t="s">
        <v>36</v>
      </c>
      <c r="G116" s="13" t="s">
        <v>202</v>
      </c>
    </row>
    <row r="117" spans="1:7" x14ac:dyDescent="0.25">
      <c r="A117" s="40" t="s">
        <v>137</v>
      </c>
      <c r="B117" s="14" t="s">
        <v>144</v>
      </c>
      <c r="C117" s="35" t="s">
        <v>36</v>
      </c>
      <c r="D117" s="10" t="s">
        <v>197</v>
      </c>
      <c r="E117" s="46" t="s">
        <v>36</v>
      </c>
      <c r="F117" s="41" t="s">
        <v>36</v>
      </c>
      <c r="G117" s="13" t="s">
        <v>202</v>
      </c>
    </row>
    <row r="118" spans="1:7" x14ac:dyDescent="0.25">
      <c r="A118" s="40" t="s">
        <v>138</v>
      </c>
      <c r="B118" s="14" t="s">
        <v>145</v>
      </c>
      <c r="C118" s="35" t="s">
        <v>36</v>
      </c>
      <c r="D118" s="10" t="s">
        <v>197</v>
      </c>
      <c r="E118" s="46" t="s">
        <v>36</v>
      </c>
      <c r="F118" s="41" t="s">
        <v>36</v>
      </c>
      <c r="G118" s="13" t="s">
        <v>202</v>
      </c>
    </row>
    <row r="119" spans="1:7" x14ac:dyDescent="0.25">
      <c r="A119" s="40" t="s">
        <v>139</v>
      </c>
      <c r="B119" s="14" t="s">
        <v>146</v>
      </c>
      <c r="C119" s="35" t="s">
        <v>36</v>
      </c>
      <c r="D119" s="10" t="s">
        <v>197</v>
      </c>
      <c r="E119" s="46" t="s">
        <v>36</v>
      </c>
      <c r="F119" s="41" t="s">
        <v>36</v>
      </c>
      <c r="G119" s="13" t="s">
        <v>202</v>
      </c>
    </row>
    <row r="120" spans="1:7" x14ac:dyDescent="0.25">
      <c r="A120" s="40">
        <v>203032019700</v>
      </c>
      <c r="B120" s="14" t="s">
        <v>147</v>
      </c>
      <c r="C120" s="35" t="s">
        <v>36</v>
      </c>
      <c r="D120" s="10" t="s">
        <v>197</v>
      </c>
      <c r="E120" s="46" t="s">
        <v>201</v>
      </c>
      <c r="F120" s="50" t="s">
        <v>201</v>
      </c>
      <c r="G120" s="13" t="s">
        <v>202</v>
      </c>
    </row>
    <row r="121" spans="1:7" x14ac:dyDescent="0.25">
      <c r="A121" s="42" t="s">
        <v>228</v>
      </c>
      <c r="B121" s="14" t="s">
        <v>148</v>
      </c>
      <c r="C121" s="35" t="s">
        <v>36</v>
      </c>
      <c r="D121" s="10" t="s">
        <v>197</v>
      </c>
      <c r="E121" s="46" t="s">
        <v>201</v>
      </c>
      <c r="F121" s="50" t="s">
        <v>201</v>
      </c>
      <c r="G121" s="13" t="s">
        <v>202</v>
      </c>
    </row>
    <row r="122" spans="1:7" x14ac:dyDescent="0.25">
      <c r="A122" s="39" t="s">
        <v>15</v>
      </c>
      <c r="B122" s="15" t="s">
        <v>149</v>
      </c>
      <c r="C122" s="34" t="s">
        <v>203</v>
      </c>
      <c r="D122" s="8" t="s">
        <v>203</v>
      </c>
      <c r="E122" s="45" t="s">
        <v>203</v>
      </c>
      <c r="F122" s="49" t="s">
        <v>203</v>
      </c>
      <c r="G122" s="8" t="s">
        <v>203</v>
      </c>
    </row>
    <row r="123" spans="1:7" x14ac:dyDescent="0.25">
      <c r="A123" s="40" t="s">
        <v>150</v>
      </c>
      <c r="B123" s="14" t="s">
        <v>176</v>
      </c>
      <c r="C123" s="35" t="s">
        <v>36</v>
      </c>
      <c r="D123" s="10" t="s">
        <v>197</v>
      </c>
      <c r="E123" s="46" t="s">
        <v>36</v>
      </c>
      <c r="F123" s="41" t="s">
        <v>36</v>
      </c>
      <c r="G123" s="13" t="s">
        <v>202</v>
      </c>
    </row>
    <row r="124" spans="1:7" x14ac:dyDescent="0.25">
      <c r="A124" s="40" t="s">
        <v>151</v>
      </c>
      <c r="B124" s="14" t="s">
        <v>177</v>
      </c>
      <c r="C124" s="35" t="s">
        <v>36</v>
      </c>
      <c r="D124" s="10" t="s">
        <v>197</v>
      </c>
      <c r="E124" s="46" t="s">
        <v>36</v>
      </c>
      <c r="F124" s="41" t="s">
        <v>36</v>
      </c>
      <c r="G124" s="13" t="s">
        <v>202</v>
      </c>
    </row>
    <row r="125" spans="1:7" x14ac:dyDescent="0.25">
      <c r="A125" s="40" t="s">
        <v>152</v>
      </c>
      <c r="B125" s="14" t="s">
        <v>178</v>
      </c>
      <c r="C125" s="35" t="s">
        <v>36</v>
      </c>
      <c r="D125" s="10" t="s">
        <v>197</v>
      </c>
      <c r="E125" s="46" t="s">
        <v>36</v>
      </c>
      <c r="F125" s="41" t="s">
        <v>36</v>
      </c>
      <c r="G125" s="13" t="s">
        <v>202</v>
      </c>
    </row>
    <row r="126" spans="1:7" x14ac:dyDescent="0.25">
      <c r="A126" s="40" t="s">
        <v>153</v>
      </c>
      <c r="B126" s="14" t="s">
        <v>179</v>
      </c>
      <c r="C126" s="35" t="s">
        <v>201</v>
      </c>
      <c r="D126" s="12" t="s">
        <v>199</v>
      </c>
      <c r="E126" s="46" t="s">
        <v>201</v>
      </c>
      <c r="F126" s="41" t="s">
        <v>36</v>
      </c>
      <c r="G126" s="2" t="s">
        <v>36</v>
      </c>
    </row>
    <row r="127" spans="1:7" x14ac:dyDescent="0.25">
      <c r="A127" s="40" t="s">
        <v>154</v>
      </c>
      <c r="B127" s="14" t="s">
        <v>54</v>
      </c>
      <c r="C127" s="35" t="s">
        <v>36</v>
      </c>
      <c r="D127" s="12" t="s">
        <v>199</v>
      </c>
      <c r="E127" s="46" t="s">
        <v>36</v>
      </c>
      <c r="F127" s="41" t="s">
        <v>36</v>
      </c>
      <c r="G127" s="2" t="s">
        <v>36</v>
      </c>
    </row>
    <row r="128" spans="1:7" x14ac:dyDescent="0.25">
      <c r="A128" s="42" t="s">
        <v>228</v>
      </c>
      <c r="B128" s="14" t="s">
        <v>180</v>
      </c>
      <c r="C128" s="35" t="s">
        <v>36</v>
      </c>
      <c r="D128" s="12" t="s">
        <v>199</v>
      </c>
      <c r="E128" s="46" t="s">
        <v>201</v>
      </c>
      <c r="F128" s="41" t="s">
        <v>36</v>
      </c>
      <c r="G128" s="2" t="s">
        <v>36</v>
      </c>
    </row>
    <row r="129" spans="1:7" x14ac:dyDescent="0.25">
      <c r="A129" s="40">
        <v>203032019700</v>
      </c>
      <c r="B129" s="14" t="s">
        <v>147</v>
      </c>
      <c r="C129" s="35" t="s">
        <v>36</v>
      </c>
      <c r="D129" s="12" t="s">
        <v>199</v>
      </c>
      <c r="E129" s="46" t="s">
        <v>201</v>
      </c>
      <c r="F129" s="41" t="s">
        <v>36</v>
      </c>
      <c r="G129" s="2" t="s">
        <v>36</v>
      </c>
    </row>
    <row r="130" spans="1:7" x14ac:dyDescent="0.25">
      <c r="A130" s="40" t="s">
        <v>155</v>
      </c>
      <c r="B130" s="14" t="s">
        <v>181</v>
      </c>
      <c r="C130" s="35" t="s">
        <v>36</v>
      </c>
      <c r="D130" s="12" t="s">
        <v>199</v>
      </c>
      <c r="E130" s="46" t="s">
        <v>36</v>
      </c>
      <c r="F130" s="41" t="s">
        <v>36</v>
      </c>
      <c r="G130" s="2" t="s">
        <v>36</v>
      </c>
    </row>
    <row r="131" spans="1:7" x14ac:dyDescent="0.25">
      <c r="A131" s="42" t="s">
        <v>229</v>
      </c>
      <c r="B131" s="14" t="s">
        <v>51</v>
      </c>
      <c r="C131" s="35" t="s">
        <v>36</v>
      </c>
      <c r="D131" s="12" t="s">
        <v>199</v>
      </c>
      <c r="E131" s="46" t="s">
        <v>36</v>
      </c>
      <c r="F131" s="41" t="s">
        <v>36</v>
      </c>
      <c r="G131" s="2" t="s">
        <v>36</v>
      </c>
    </row>
    <row r="132" spans="1:7" x14ac:dyDescent="0.25">
      <c r="A132" s="40" t="s">
        <v>156</v>
      </c>
      <c r="B132" s="14" t="s">
        <v>182</v>
      </c>
      <c r="C132" s="35" t="s">
        <v>36</v>
      </c>
      <c r="D132" s="12" t="s">
        <v>199</v>
      </c>
      <c r="E132" s="46" t="s">
        <v>36</v>
      </c>
      <c r="F132" s="41" t="s">
        <v>36</v>
      </c>
      <c r="G132" s="2" t="s">
        <v>36</v>
      </c>
    </row>
    <row r="133" spans="1:7" x14ac:dyDescent="0.25">
      <c r="A133" s="40" t="s">
        <v>157</v>
      </c>
      <c r="B133" s="14" t="s">
        <v>49</v>
      </c>
      <c r="C133" s="35" t="s">
        <v>36</v>
      </c>
      <c r="D133" s="12" t="s">
        <v>199</v>
      </c>
      <c r="E133" s="46" t="s">
        <v>36</v>
      </c>
      <c r="F133" s="41" t="s">
        <v>36</v>
      </c>
      <c r="G133" s="2" t="s">
        <v>36</v>
      </c>
    </row>
    <row r="134" spans="1:7" x14ac:dyDescent="0.25">
      <c r="A134" s="40" t="s">
        <v>158</v>
      </c>
      <c r="B134" s="14" t="s">
        <v>183</v>
      </c>
      <c r="C134" s="35" t="s">
        <v>36</v>
      </c>
      <c r="D134" s="12" t="s">
        <v>199</v>
      </c>
      <c r="E134" s="46" t="s">
        <v>201</v>
      </c>
      <c r="F134" s="41" t="s">
        <v>36</v>
      </c>
      <c r="G134" s="2" t="s">
        <v>36</v>
      </c>
    </row>
    <row r="135" spans="1:7" x14ac:dyDescent="0.25">
      <c r="A135" s="40" t="s">
        <v>159</v>
      </c>
      <c r="B135" s="14" t="s">
        <v>184</v>
      </c>
      <c r="C135" s="35" t="s">
        <v>36</v>
      </c>
      <c r="D135" s="12" t="s">
        <v>199</v>
      </c>
      <c r="E135" s="46" t="s">
        <v>36</v>
      </c>
      <c r="F135" s="41" t="s">
        <v>36</v>
      </c>
      <c r="G135" s="2" t="s">
        <v>36</v>
      </c>
    </row>
    <row r="136" spans="1:7" x14ac:dyDescent="0.25">
      <c r="A136" s="40" t="s">
        <v>160</v>
      </c>
      <c r="B136" s="14" t="s">
        <v>185</v>
      </c>
      <c r="C136" s="35" t="s">
        <v>36</v>
      </c>
      <c r="D136" s="12" t="s">
        <v>199</v>
      </c>
      <c r="E136" s="46" t="s">
        <v>36</v>
      </c>
      <c r="F136" s="41" t="s">
        <v>36</v>
      </c>
      <c r="G136" s="2" t="s">
        <v>36</v>
      </c>
    </row>
    <row r="137" spans="1:7" x14ac:dyDescent="0.25">
      <c r="A137" s="40" t="s">
        <v>161</v>
      </c>
      <c r="B137" s="14" t="s">
        <v>186</v>
      </c>
      <c r="C137" s="35" t="s">
        <v>36</v>
      </c>
      <c r="D137" s="12" t="s">
        <v>199</v>
      </c>
      <c r="E137" s="46" t="s">
        <v>36</v>
      </c>
      <c r="F137" s="41" t="s">
        <v>36</v>
      </c>
      <c r="G137" s="2" t="s">
        <v>36</v>
      </c>
    </row>
    <row r="138" spans="1:7" x14ac:dyDescent="0.25">
      <c r="A138" s="40" t="s">
        <v>162</v>
      </c>
      <c r="B138" s="14" t="s">
        <v>182</v>
      </c>
      <c r="C138" s="35" t="s">
        <v>36</v>
      </c>
      <c r="D138" s="12" t="s">
        <v>199</v>
      </c>
      <c r="E138" s="46" t="s">
        <v>36</v>
      </c>
      <c r="F138" s="41" t="s">
        <v>36</v>
      </c>
      <c r="G138" s="2" t="s">
        <v>36</v>
      </c>
    </row>
    <row r="139" spans="1:7" x14ac:dyDescent="0.25">
      <c r="A139" s="40" t="s">
        <v>163</v>
      </c>
      <c r="B139" s="14" t="s">
        <v>187</v>
      </c>
      <c r="C139" s="35" t="s">
        <v>36</v>
      </c>
      <c r="D139" s="12" t="s">
        <v>199</v>
      </c>
      <c r="E139" s="46" t="s">
        <v>36</v>
      </c>
      <c r="F139" s="41" t="s">
        <v>36</v>
      </c>
      <c r="G139" s="2" t="s">
        <v>36</v>
      </c>
    </row>
    <row r="140" spans="1:7" x14ac:dyDescent="0.25">
      <c r="A140" s="40" t="s">
        <v>164</v>
      </c>
      <c r="B140" s="14" t="s">
        <v>188</v>
      </c>
      <c r="C140" s="35" t="s">
        <v>36</v>
      </c>
      <c r="D140" s="12" t="s">
        <v>199</v>
      </c>
      <c r="E140" s="46" t="s">
        <v>36</v>
      </c>
      <c r="F140" s="41" t="s">
        <v>36</v>
      </c>
      <c r="G140" s="2" t="s">
        <v>36</v>
      </c>
    </row>
    <row r="141" spans="1:7" x14ac:dyDescent="0.25">
      <c r="A141" s="40" t="s">
        <v>165</v>
      </c>
      <c r="B141" s="14" t="s">
        <v>189</v>
      </c>
      <c r="C141" s="35" t="s">
        <v>36</v>
      </c>
      <c r="D141" s="10" t="s">
        <v>197</v>
      </c>
      <c r="E141" s="46" t="s">
        <v>36</v>
      </c>
      <c r="F141" s="41" t="s">
        <v>36</v>
      </c>
      <c r="G141" s="13" t="s">
        <v>202</v>
      </c>
    </row>
    <row r="142" spans="1:7" x14ac:dyDescent="0.25">
      <c r="A142" s="40" t="s">
        <v>166</v>
      </c>
      <c r="B142" s="14" t="s">
        <v>78</v>
      </c>
      <c r="C142" s="35" t="s">
        <v>36</v>
      </c>
      <c r="D142" s="10" t="s">
        <v>197</v>
      </c>
      <c r="E142" s="46" t="s">
        <v>201</v>
      </c>
      <c r="F142" s="41" t="s">
        <v>36</v>
      </c>
      <c r="G142" s="13" t="s">
        <v>202</v>
      </c>
    </row>
    <row r="143" spans="1:7" x14ac:dyDescent="0.25">
      <c r="A143" s="40" t="s">
        <v>167</v>
      </c>
      <c r="B143" s="14" t="s">
        <v>80</v>
      </c>
      <c r="C143" s="35" t="s">
        <v>36</v>
      </c>
      <c r="D143" s="10" t="s">
        <v>197</v>
      </c>
      <c r="E143" s="46" t="s">
        <v>36</v>
      </c>
      <c r="F143" s="41" t="s">
        <v>36</v>
      </c>
      <c r="G143" s="13" t="s">
        <v>202</v>
      </c>
    </row>
    <row r="144" spans="1:7" x14ac:dyDescent="0.25">
      <c r="A144" s="40" t="s">
        <v>168</v>
      </c>
      <c r="B144" s="14" t="s">
        <v>190</v>
      </c>
      <c r="C144" s="35" t="s">
        <v>36</v>
      </c>
      <c r="D144" s="12" t="s">
        <v>199</v>
      </c>
      <c r="E144" s="46" t="s">
        <v>36</v>
      </c>
      <c r="F144" s="41" t="s">
        <v>36</v>
      </c>
      <c r="G144" s="2" t="s">
        <v>36</v>
      </c>
    </row>
    <row r="145" spans="1:7" x14ac:dyDescent="0.25">
      <c r="A145" s="40" t="s">
        <v>169</v>
      </c>
      <c r="B145" s="14" t="s">
        <v>191</v>
      </c>
      <c r="C145" s="35" t="s">
        <v>36</v>
      </c>
      <c r="D145" s="12" t="s">
        <v>199</v>
      </c>
      <c r="E145" s="46" t="s">
        <v>36</v>
      </c>
      <c r="F145" s="41" t="s">
        <v>36</v>
      </c>
      <c r="G145" s="2" t="s">
        <v>36</v>
      </c>
    </row>
    <row r="146" spans="1:7" x14ac:dyDescent="0.25">
      <c r="A146" s="40" t="s">
        <v>170</v>
      </c>
      <c r="B146" s="14" t="s">
        <v>192</v>
      </c>
      <c r="C146" s="35" t="s">
        <v>36</v>
      </c>
      <c r="D146" s="12" t="s">
        <v>199</v>
      </c>
      <c r="E146" s="46" t="s">
        <v>36</v>
      </c>
      <c r="F146" s="41" t="s">
        <v>36</v>
      </c>
      <c r="G146" s="2" t="s">
        <v>36</v>
      </c>
    </row>
    <row r="147" spans="1:7" x14ac:dyDescent="0.25">
      <c r="A147" s="40" t="s">
        <v>171</v>
      </c>
      <c r="B147" s="14" t="s">
        <v>187</v>
      </c>
      <c r="C147" s="35" t="s">
        <v>36</v>
      </c>
      <c r="D147" s="12" t="s">
        <v>199</v>
      </c>
      <c r="E147" s="46" t="s">
        <v>36</v>
      </c>
      <c r="F147" s="41" t="s">
        <v>36</v>
      </c>
      <c r="G147" s="2" t="s">
        <v>36</v>
      </c>
    </row>
    <row r="148" spans="1:7" x14ac:dyDescent="0.25">
      <c r="A148" s="40" t="s">
        <v>172</v>
      </c>
      <c r="B148" s="14" t="s">
        <v>193</v>
      </c>
      <c r="C148" s="35" t="s">
        <v>36</v>
      </c>
      <c r="D148" s="10" t="s">
        <v>197</v>
      </c>
      <c r="E148" s="46" t="s">
        <v>36</v>
      </c>
      <c r="F148" s="41" t="s">
        <v>36</v>
      </c>
      <c r="G148" s="13" t="s">
        <v>202</v>
      </c>
    </row>
    <row r="149" spans="1:7" x14ac:dyDescent="0.25">
      <c r="A149" s="40" t="s">
        <v>173</v>
      </c>
      <c r="B149" s="14" t="s">
        <v>194</v>
      </c>
      <c r="C149" s="35" t="s">
        <v>36</v>
      </c>
      <c r="D149" s="10" t="s">
        <v>197</v>
      </c>
      <c r="E149" s="46" t="s">
        <v>36</v>
      </c>
      <c r="F149" s="41" t="s">
        <v>36</v>
      </c>
      <c r="G149" s="13" t="s">
        <v>202</v>
      </c>
    </row>
    <row r="150" spans="1:7" x14ac:dyDescent="0.25">
      <c r="A150" s="40" t="s">
        <v>174</v>
      </c>
      <c r="B150" s="14" t="s">
        <v>195</v>
      </c>
      <c r="C150" s="35" t="s">
        <v>36</v>
      </c>
      <c r="D150" s="12" t="s">
        <v>199</v>
      </c>
      <c r="E150" s="46" t="s">
        <v>36</v>
      </c>
      <c r="F150" s="41" t="s">
        <v>36</v>
      </c>
      <c r="G150" s="2" t="s">
        <v>36</v>
      </c>
    </row>
    <row r="151" spans="1:7" x14ac:dyDescent="0.25">
      <c r="A151" s="40" t="s">
        <v>175</v>
      </c>
      <c r="B151" s="14" t="s">
        <v>196</v>
      </c>
      <c r="C151" s="35" t="s">
        <v>201</v>
      </c>
      <c r="D151" s="12" t="s">
        <v>199</v>
      </c>
      <c r="E151" s="46" t="s">
        <v>201</v>
      </c>
      <c r="F151" s="41" t="s">
        <v>36</v>
      </c>
      <c r="G151" s="2" t="s">
        <v>36</v>
      </c>
    </row>
  </sheetData>
  <mergeCells count="8">
    <mergeCell ref="I7:N7"/>
    <mergeCell ref="I8:N8"/>
    <mergeCell ref="I13:N13"/>
    <mergeCell ref="I14:N14"/>
    <mergeCell ref="I11:N11"/>
    <mergeCell ref="I12:N12"/>
    <mergeCell ref="I9:N9"/>
    <mergeCell ref="I10:N10"/>
  </mergeCells>
  <conditionalFormatting sqref="D2:D151">
    <cfRule type="cellIs" dxfId="3" priority="2" operator="equal">
      <formula>"MISSING"</formula>
    </cfRule>
    <cfRule type="cellIs" dxfId="2" priority="3" operator="equal">
      <formula>"SHOWN"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9AC6-B7A0-4CC9-8A78-AB7CE867D2C2}">
  <dimension ref="B1:E9"/>
  <sheetViews>
    <sheetView workbookViewId="0">
      <selection activeCell="C20" sqref="C20"/>
    </sheetView>
  </sheetViews>
  <sheetFormatPr defaultRowHeight="15" x14ac:dyDescent="0.25"/>
  <cols>
    <col min="3" max="3" width="55.5703125" customWidth="1"/>
    <col min="4" max="4" width="12.85546875" customWidth="1"/>
    <col min="5" max="5" width="16.85546875" customWidth="1"/>
  </cols>
  <sheetData>
    <row r="1" spans="2:5" ht="15.75" thickBot="1" x14ac:dyDescent="0.3"/>
    <row r="2" spans="2:5" ht="21.75" customHeight="1" thickBot="1" x14ac:dyDescent="0.35">
      <c r="B2" s="61" t="s">
        <v>241</v>
      </c>
      <c r="C2" s="62"/>
      <c r="D2" s="63"/>
    </row>
    <row r="3" spans="2:5" ht="21.75" customHeight="1" thickBot="1" x14ac:dyDescent="0.3">
      <c r="B3" s="24" t="s">
        <v>239</v>
      </c>
      <c r="C3" s="25" t="s">
        <v>3</v>
      </c>
      <c r="D3" s="26" t="s">
        <v>240</v>
      </c>
      <c r="E3" s="23" t="s">
        <v>242</v>
      </c>
    </row>
    <row r="4" spans="2:5" ht="22.5" customHeight="1" thickBot="1" x14ac:dyDescent="0.3">
      <c r="B4" s="27">
        <v>1</v>
      </c>
      <c r="C4" s="28" t="str">
        <f>Sheet1!A2</f>
        <v>Parts Present in Catalogue Model # NE 1104 3616</v>
      </c>
      <c r="D4" s="29">
        <f>COUNTA(Sheet1!$A$11:$A$21,Sheet1!$A$23:$A$26,Sheet1!$A$28:$A$30,Sheet1!$A$32:$A$44,Sheet1!$A$46:$A$66,Sheet1!$A$68:$A$74,Sheet1!$A$76:$A$82,Sheet1!$A$84:$A$111,Sheet1!$A$113:$A$122,Sheet1!$A$124:$A$152)</f>
        <v>133</v>
      </c>
    </row>
    <row r="5" spans="2:5" ht="22.5" customHeight="1" x14ac:dyDescent="0.25">
      <c r="B5" s="18">
        <v>2</v>
      </c>
      <c r="C5" s="17" t="str">
        <f>Sheet1!C2</f>
        <v>Part in (Common parts xls)</v>
      </c>
      <c r="D5" s="21">
        <f>COUNTIF(Sheet1!$C$3:$C$152,E5)</f>
        <v>19</v>
      </c>
      <c r="E5" s="30" t="s">
        <v>201</v>
      </c>
    </row>
    <row r="6" spans="2:5" ht="22.5" customHeight="1" x14ac:dyDescent="0.25">
      <c r="B6" s="18">
        <v>3</v>
      </c>
      <c r="C6" s="17" t="str">
        <f>Sheet1!D2</f>
        <v>Part present in Recreated Model (Multi Ax Assembly.Step)</v>
      </c>
      <c r="D6" s="21">
        <f>COUNTIF(Sheet1!$D$3:$D$152,E6)</f>
        <v>92</v>
      </c>
      <c r="E6" s="31" t="s">
        <v>197</v>
      </c>
    </row>
    <row r="7" spans="2:5" ht="22.5" customHeight="1" x14ac:dyDescent="0.25">
      <c r="B7" s="18">
        <v>4</v>
      </c>
      <c r="C7" s="17" t="str">
        <f>Sheet1!E2</f>
        <v>Part in (5922 model parts xls)</v>
      </c>
      <c r="D7" s="21">
        <f>COUNTIF(Sheet1!$E$3:$E$152,Sheet2!E7)</f>
        <v>69</v>
      </c>
      <c r="E7" s="31" t="s">
        <v>201</v>
      </c>
    </row>
    <row r="8" spans="2:5" ht="22.5" customHeight="1" x14ac:dyDescent="0.25">
      <c r="B8" s="18">
        <v>5</v>
      </c>
      <c r="C8" s="17" t="str">
        <f>Sheet1!F2</f>
        <v>CORRUPTED</v>
      </c>
      <c r="D8" s="21">
        <f>COUNTIF(Sheet1!F3:F152,E8)</f>
        <v>39</v>
      </c>
      <c r="E8" s="31" t="s">
        <v>201</v>
      </c>
    </row>
    <row r="9" spans="2:5" ht="22.5" customHeight="1" thickBot="1" x14ac:dyDescent="0.3">
      <c r="B9" s="19">
        <v>6</v>
      </c>
      <c r="C9" s="20" t="str">
        <f>Sheet1!G2</f>
        <v>Part Recreated</v>
      </c>
      <c r="D9" s="22">
        <f>COUNTIF(Sheet1!G3:G152,E9)</f>
        <v>71</v>
      </c>
      <c r="E9" s="32" t="s">
        <v>202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"/>
  <sheetViews>
    <sheetView tabSelected="1" zoomScale="70" zoomScaleNormal="70" workbookViewId="0">
      <selection activeCell="O30" sqref="O30"/>
    </sheetView>
  </sheetViews>
  <sheetFormatPr defaultRowHeight="15" x14ac:dyDescent="0.25"/>
  <cols>
    <col min="1" max="1" width="64.140625" style="68" bestFit="1" customWidth="1"/>
    <col min="2" max="2" width="48.140625" style="68" bestFit="1" customWidth="1"/>
    <col min="3" max="3" width="34.7109375" style="68" bestFit="1" customWidth="1"/>
    <col min="4" max="4" width="74.42578125" style="68" bestFit="1" customWidth="1"/>
    <col min="5" max="5" width="38" style="68" bestFit="1" customWidth="1"/>
    <col min="6" max="6" width="17.140625" style="68" bestFit="1" customWidth="1"/>
    <col min="7" max="7" width="30.5703125" style="68" customWidth="1"/>
  </cols>
  <sheetData>
    <row r="1" spans="1:18" ht="60" customHeight="1" x14ac:dyDescent="0.25">
      <c r="A1" s="69" t="s">
        <v>243</v>
      </c>
      <c r="B1" s="69"/>
      <c r="C1" s="69"/>
      <c r="D1" s="69"/>
      <c r="E1" s="69"/>
      <c r="F1" s="69"/>
      <c r="G1" s="69"/>
    </row>
    <row r="2" spans="1:18" ht="30.75" customHeight="1" x14ac:dyDescent="0.25">
      <c r="A2" s="74" t="s">
        <v>135</v>
      </c>
      <c r="B2" s="75" t="s">
        <v>3</v>
      </c>
      <c r="C2" s="91" t="s">
        <v>1</v>
      </c>
      <c r="D2" s="95" t="s">
        <v>230</v>
      </c>
      <c r="E2" s="92" t="s">
        <v>0</v>
      </c>
      <c r="F2" s="93" t="s">
        <v>200</v>
      </c>
      <c r="G2" s="94" t="s">
        <v>198</v>
      </c>
    </row>
    <row r="3" spans="1:18" x14ac:dyDescent="0.25">
      <c r="A3" s="64" t="s">
        <v>87</v>
      </c>
      <c r="B3" s="65" t="s">
        <v>88</v>
      </c>
      <c r="C3" s="33" t="s">
        <v>203</v>
      </c>
      <c r="D3" s="66" t="s">
        <v>203</v>
      </c>
      <c r="E3" s="58" t="s">
        <v>203</v>
      </c>
      <c r="F3" s="66" t="s">
        <v>203</v>
      </c>
      <c r="G3" s="66" t="s">
        <v>203</v>
      </c>
    </row>
    <row r="4" spans="1:18" x14ac:dyDescent="0.25">
      <c r="A4" s="67" t="s">
        <v>2</v>
      </c>
      <c r="B4" s="9" t="s">
        <v>4</v>
      </c>
      <c r="C4" s="34" t="s">
        <v>203</v>
      </c>
      <c r="D4" s="8" t="s">
        <v>203</v>
      </c>
      <c r="E4" s="54" t="s">
        <v>203</v>
      </c>
      <c r="F4" s="8" t="s">
        <v>203</v>
      </c>
      <c r="G4" s="8" t="s">
        <v>203</v>
      </c>
    </row>
    <row r="5" spans="1:18" x14ac:dyDescent="0.25">
      <c r="A5" s="67" t="s">
        <v>11</v>
      </c>
      <c r="B5" s="9" t="s">
        <v>5</v>
      </c>
      <c r="C5" s="34" t="s">
        <v>203</v>
      </c>
      <c r="D5" s="8" t="s">
        <v>203</v>
      </c>
      <c r="E5" s="54" t="s">
        <v>203</v>
      </c>
      <c r="F5" s="8" t="s">
        <v>203</v>
      </c>
      <c r="G5" s="8" t="s">
        <v>203</v>
      </c>
    </row>
    <row r="6" spans="1:18" ht="15.75" thickBot="1" x14ac:dyDescent="0.3">
      <c r="A6" s="67" t="s">
        <v>12</v>
      </c>
      <c r="B6" s="9" t="s">
        <v>6</v>
      </c>
      <c r="C6" s="34" t="s">
        <v>203</v>
      </c>
      <c r="D6" s="8" t="s">
        <v>203</v>
      </c>
      <c r="E6" s="54" t="s">
        <v>203</v>
      </c>
      <c r="F6" s="8" t="s">
        <v>203</v>
      </c>
      <c r="G6" s="8" t="s">
        <v>203</v>
      </c>
    </row>
    <row r="7" spans="1:18" x14ac:dyDescent="0.25">
      <c r="A7" s="67" t="s">
        <v>13</v>
      </c>
      <c r="B7" s="9" t="s">
        <v>7</v>
      </c>
      <c r="C7" s="34" t="s">
        <v>203</v>
      </c>
      <c r="D7" s="8" t="s">
        <v>203</v>
      </c>
      <c r="E7" s="54" t="s">
        <v>203</v>
      </c>
      <c r="F7" s="8" t="s">
        <v>203</v>
      </c>
      <c r="G7" s="8" t="s">
        <v>203</v>
      </c>
      <c r="I7" s="76" t="s">
        <v>231</v>
      </c>
      <c r="J7" s="77"/>
      <c r="K7" s="77"/>
      <c r="L7" s="77"/>
      <c r="M7" s="77"/>
      <c r="N7" s="78"/>
    </row>
    <row r="8" spans="1:18" ht="15" customHeight="1" thickBot="1" x14ac:dyDescent="0.3">
      <c r="A8" s="67" t="s">
        <v>14</v>
      </c>
      <c r="B8" s="9" t="s">
        <v>8</v>
      </c>
      <c r="C8" s="34" t="s">
        <v>203</v>
      </c>
      <c r="D8" s="8" t="s">
        <v>203</v>
      </c>
      <c r="E8" s="54" t="s">
        <v>203</v>
      </c>
      <c r="F8" s="8" t="s">
        <v>203</v>
      </c>
      <c r="G8" s="8" t="s">
        <v>203</v>
      </c>
      <c r="I8" s="79"/>
      <c r="J8" s="80"/>
      <c r="K8" s="80"/>
      <c r="L8" s="80"/>
      <c r="M8" s="80"/>
      <c r="N8" s="81"/>
    </row>
    <row r="9" spans="1:18" ht="17.25" x14ac:dyDescent="0.25">
      <c r="A9" s="67" t="s">
        <v>15</v>
      </c>
      <c r="B9" s="9" t="s">
        <v>9</v>
      </c>
      <c r="C9" s="34" t="s">
        <v>203</v>
      </c>
      <c r="D9" s="8" t="s">
        <v>203</v>
      </c>
      <c r="E9" s="54" t="s">
        <v>203</v>
      </c>
      <c r="F9" s="8" t="s">
        <v>203</v>
      </c>
      <c r="G9" s="8" t="s">
        <v>203</v>
      </c>
      <c r="I9" s="82" t="s">
        <v>232</v>
      </c>
      <c r="J9" s="83"/>
      <c r="K9" s="83"/>
      <c r="L9" s="83"/>
      <c r="M9" s="83"/>
      <c r="N9" s="84"/>
      <c r="O9" s="1"/>
      <c r="P9" s="1"/>
      <c r="Q9" s="1"/>
      <c r="R9" s="1"/>
    </row>
    <row r="10" spans="1:18" ht="17.25" x14ac:dyDescent="0.25">
      <c r="A10" s="15" t="s">
        <v>16</v>
      </c>
      <c r="B10" s="9" t="s">
        <v>10</v>
      </c>
      <c r="C10" s="34" t="s">
        <v>203</v>
      </c>
      <c r="D10" s="8" t="s">
        <v>203</v>
      </c>
      <c r="E10" s="54" t="s">
        <v>203</v>
      </c>
      <c r="F10" s="8" t="s">
        <v>203</v>
      </c>
      <c r="G10" s="8" t="s">
        <v>203</v>
      </c>
      <c r="I10" s="85" t="s">
        <v>233</v>
      </c>
      <c r="J10" s="86"/>
      <c r="K10" s="86"/>
      <c r="L10" s="86"/>
      <c r="M10" s="86"/>
      <c r="N10" s="87"/>
      <c r="O10" s="1"/>
      <c r="P10" s="1"/>
      <c r="Q10" s="1"/>
      <c r="R10" s="1"/>
    </row>
    <row r="11" spans="1:18" ht="17.25" x14ac:dyDescent="0.25">
      <c r="A11" s="57" t="s">
        <v>210</v>
      </c>
      <c r="B11" s="2" t="s">
        <v>22</v>
      </c>
      <c r="C11" s="35" t="s">
        <v>36</v>
      </c>
      <c r="D11" s="10" t="s">
        <v>197</v>
      </c>
      <c r="E11" s="52" t="s">
        <v>201</v>
      </c>
      <c r="F11" s="2" t="s">
        <v>36</v>
      </c>
      <c r="G11" s="13" t="s">
        <v>202</v>
      </c>
      <c r="I11" s="85" t="s">
        <v>234</v>
      </c>
      <c r="J11" s="86"/>
      <c r="K11" s="86"/>
      <c r="L11" s="86"/>
      <c r="M11" s="86"/>
      <c r="N11" s="87"/>
      <c r="O11" s="1"/>
      <c r="P11" s="1"/>
      <c r="Q11" s="1"/>
      <c r="R11" s="1"/>
    </row>
    <row r="12" spans="1:18" ht="17.25" x14ac:dyDescent="0.25">
      <c r="A12" s="55">
        <v>203025001100</v>
      </c>
      <c r="B12" s="2" t="s">
        <v>23</v>
      </c>
      <c r="C12" s="35" t="s">
        <v>36</v>
      </c>
      <c r="D12" s="10" t="s">
        <v>197</v>
      </c>
      <c r="E12" s="52" t="s">
        <v>201</v>
      </c>
      <c r="F12" s="2" t="s">
        <v>36</v>
      </c>
      <c r="G12" s="13" t="s">
        <v>202</v>
      </c>
      <c r="I12" s="85" t="s">
        <v>235</v>
      </c>
      <c r="J12" s="86"/>
      <c r="K12" s="86"/>
      <c r="L12" s="86"/>
      <c r="M12" s="86"/>
      <c r="N12" s="87"/>
      <c r="O12" s="1"/>
      <c r="P12" s="1"/>
      <c r="Q12" s="1"/>
      <c r="R12" s="1"/>
    </row>
    <row r="13" spans="1:18" ht="17.25" x14ac:dyDescent="0.25">
      <c r="A13" s="55" t="s">
        <v>17</v>
      </c>
      <c r="B13" s="2" t="s">
        <v>17</v>
      </c>
      <c r="C13" s="35" t="s">
        <v>201</v>
      </c>
      <c r="D13" s="10" t="s">
        <v>197</v>
      </c>
      <c r="E13" s="52" t="s">
        <v>201</v>
      </c>
      <c r="F13" s="2" t="s">
        <v>36</v>
      </c>
      <c r="G13" s="13" t="s">
        <v>202</v>
      </c>
      <c r="I13" s="85" t="s">
        <v>236</v>
      </c>
      <c r="J13" s="86"/>
      <c r="K13" s="86"/>
      <c r="L13" s="86"/>
      <c r="M13" s="86"/>
      <c r="N13" s="87"/>
      <c r="O13" s="1"/>
      <c r="P13" s="1"/>
      <c r="Q13" s="1"/>
      <c r="R13" s="1"/>
    </row>
    <row r="14" spans="1:18" ht="17.25" x14ac:dyDescent="0.25">
      <c r="A14" s="55" t="s">
        <v>18</v>
      </c>
      <c r="B14" s="2" t="s">
        <v>24</v>
      </c>
      <c r="C14" s="35" t="s">
        <v>36</v>
      </c>
      <c r="D14" s="10" t="s">
        <v>197</v>
      </c>
      <c r="E14" s="52" t="s">
        <v>36</v>
      </c>
      <c r="F14" s="2" t="s">
        <v>36</v>
      </c>
      <c r="G14" s="13" t="s">
        <v>202</v>
      </c>
      <c r="I14" s="85" t="s">
        <v>237</v>
      </c>
      <c r="J14" s="86"/>
      <c r="K14" s="86"/>
      <c r="L14" s="86"/>
      <c r="M14" s="86"/>
      <c r="N14" s="87"/>
      <c r="O14" s="1"/>
      <c r="P14" s="1"/>
      <c r="Q14" s="1"/>
      <c r="R14" s="1"/>
    </row>
    <row r="15" spans="1:18" ht="18" thickBot="1" x14ac:dyDescent="0.3">
      <c r="A15" s="55" t="s">
        <v>19</v>
      </c>
      <c r="B15" s="2" t="s">
        <v>25</v>
      </c>
      <c r="C15" s="35" t="s">
        <v>201</v>
      </c>
      <c r="D15" s="10" t="s">
        <v>197</v>
      </c>
      <c r="E15" s="52" t="s">
        <v>201</v>
      </c>
      <c r="F15" s="2" t="s">
        <v>36</v>
      </c>
      <c r="G15" s="13" t="s">
        <v>202</v>
      </c>
      <c r="I15" s="88" t="s">
        <v>238</v>
      </c>
      <c r="J15" s="89"/>
      <c r="K15" s="89"/>
      <c r="L15" s="89"/>
      <c r="M15" s="89"/>
      <c r="N15" s="90"/>
      <c r="O15" s="1"/>
      <c r="P15" s="1"/>
      <c r="Q15" s="1"/>
      <c r="R15" s="1"/>
    </row>
    <row r="16" spans="1:18" x14ac:dyDescent="0.25">
      <c r="A16" s="55">
        <v>203047000200</v>
      </c>
      <c r="B16" s="2" t="s">
        <v>26</v>
      </c>
      <c r="C16" s="35" t="s">
        <v>201</v>
      </c>
      <c r="D16" s="10" t="s">
        <v>197</v>
      </c>
      <c r="E16" s="52" t="s">
        <v>201</v>
      </c>
      <c r="F16" s="2" t="s">
        <v>36</v>
      </c>
      <c r="G16" s="13" t="s">
        <v>202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55">
        <v>203012000200</v>
      </c>
      <c r="B17" s="2" t="s">
        <v>27</v>
      </c>
      <c r="C17" s="35" t="s">
        <v>36</v>
      </c>
      <c r="D17" s="10" t="s">
        <v>197</v>
      </c>
      <c r="E17" s="52" t="s">
        <v>201</v>
      </c>
      <c r="F17" s="53" t="s">
        <v>201</v>
      </c>
      <c r="G17" s="13" t="s">
        <v>202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55">
        <v>203038002500</v>
      </c>
      <c r="B18" s="2" t="s">
        <v>28</v>
      </c>
      <c r="C18" s="35" t="s">
        <v>36</v>
      </c>
      <c r="D18" s="10" t="s">
        <v>197</v>
      </c>
      <c r="E18" s="52" t="s">
        <v>36</v>
      </c>
      <c r="F18" s="53" t="s">
        <v>201</v>
      </c>
      <c r="G18" s="13" t="s">
        <v>202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55" t="s">
        <v>20</v>
      </c>
      <c r="B19" s="2" t="s">
        <v>29</v>
      </c>
      <c r="C19" s="35" t="s">
        <v>36</v>
      </c>
      <c r="D19" s="10" t="s">
        <v>197</v>
      </c>
      <c r="E19" s="52" t="s">
        <v>201</v>
      </c>
      <c r="F19" s="2" t="s">
        <v>36</v>
      </c>
      <c r="G19" s="13" t="s">
        <v>202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55" t="s">
        <v>21</v>
      </c>
      <c r="B20" s="2" t="s">
        <v>31</v>
      </c>
      <c r="C20" s="35" t="s">
        <v>36</v>
      </c>
      <c r="D20" s="10" t="s">
        <v>197</v>
      </c>
      <c r="E20" s="52" t="s">
        <v>201</v>
      </c>
      <c r="F20" s="2" t="s">
        <v>36</v>
      </c>
      <c r="G20" s="13" t="s">
        <v>202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55">
        <v>203026010200</v>
      </c>
      <c r="B21" s="2" t="s">
        <v>30</v>
      </c>
      <c r="C21" s="35" t="s">
        <v>36</v>
      </c>
      <c r="D21" s="10" t="s">
        <v>197</v>
      </c>
      <c r="E21" s="52" t="s">
        <v>201</v>
      </c>
      <c r="F21" s="2" t="s">
        <v>36</v>
      </c>
      <c r="G21" s="13" t="s">
        <v>202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5" t="s">
        <v>12</v>
      </c>
      <c r="B22" s="9" t="s">
        <v>6</v>
      </c>
      <c r="C22" s="70" t="s">
        <v>203</v>
      </c>
      <c r="D22" s="8" t="s">
        <v>203</v>
      </c>
      <c r="E22" s="70" t="s">
        <v>203</v>
      </c>
      <c r="F22" s="8" t="s">
        <v>203</v>
      </c>
      <c r="G22" s="8" t="s">
        <v>203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4" t="s">
        <v>20</v>
      </c>
      <c r="B23" s="2" t="s">
        <v>29</v>
      </c>
      <c r="C23" s="35" t="s">
        <v>36</v>
      </c>
      <c r="D23" s="10" t="s">
        <v>197</v>
      </c>
      <c r="E23" s="52" t="s">
        <v>201</v>
      </c>
      <c r="F23" s="2" t="s">
        <v>36</v>
      </c>
      <c r="G23" s="13" t="s">
        <v>202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4">
        <v>203038002500</v>
      </c>
      <c r="B24" s="2" t="s">
        <v>37</v>
      </c>
      <c r="C24" s="35" t="s">
        <v>36</v>
      </c>
      <c r="D24" s="10" t="s">
        <v>197</v>
      </c>
      <c r="E24" s="52" t="s">
        <v>36</v>
      </c>
      <c r="F24" s="2" t="s">
        <v>36</v>
      </c>
      <c r="G24" s="13" t="s">
        <v>202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4" t="s">
        <v>32</v>
      </c>
      <c r="B25" s="2" t="s">
        <v>38</v>
      </c>
      <c r="C25" s="35" t="s">
        <v>201</v>
      </c>
      <c r="D25" s="10" t="s">
        <v>197</v>
      </c>
      <c r="E25" s="52" t="s">
        <v>201</v>
      </c>
      <c r="F25" s="2" t="s">
        <v>36</v>
      </c>
      <c r="G25" s="13" t="s">
        <v>202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4" t="s">
        <v>33</v>
      </c>
      <c r="B26" s="2" t="s">
        <v>24</v>
      </c>
      <c r="C26" s="35" t="s">
        <v>36</v>
      </c>
      <c r="D26" s="10" t="s">
        <v>197</v>
      </c>
      <c r="E26" s="52" t="s">
        <v>36</v>
      </c>
      <c r="F26" s="2" t="s">
        <v>36</v>
      </c>
      <c r="G26" s="13" t="s">
        <v>202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5" t="s">
        <v>34</v>
      </c>
      <c r="B27" s="8" t="s">
        <v>39</v>
      </c>
      <c r="C27" s="71" t="s">
        <v>201</v>
      </c>
      <c r="D27" s="72" t="s">
        <v>197</v>
      </c>
      <c r="E27" s="71" t="s">
        <v>201</v>
      </c>
      <c r="F27" s="70" t="s">
        <v>36</v>
      </c>
      <c r="G27" s="73" t="s">
        <v>202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4">
        <v>203025001100</v>
      </c>
      <c r="B28" s="2" t="s">
        <v>23</v>
      </c>
      <c r="C28" s="35" t="s">
        <v>36</v>
      </c>
      <c r="D28" s="10" t="s">
        <v>197</v>
      </c>
      <c r="E28" s="52" t="s">
        <v>201</v>
      </c>
      <c r="F28" s="2" t="s">
        <v>36</v>
      </c>
      <c r="G28" s="13" t="s">
        <v>202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4">
        <v>203012000200</v>
      </c>
      <c r="B29" s="2" t="s">
        <v>40</v>
      </c>
      <c r="C29" s="35" t="s">
        <v>36</v>
      </c>
      <c r="D29" s="10" t="s">
        <v>197</v>
      </c>
      <c r="E29" s="52" t="s">
        <v>201</v>
      </c>
      <c r="F29" s="53" t="s">
        <v>201</v>
      </c>
      <c r="G29" s="13" t="s">
        <v>202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2" t="s">
        <v>36</v>
      </c>
      <c r="B30" s="2" t="s">
        <v>35</v>
      </c>
      <c r="C30" s="35" t="s">
        <v>203</v>
      </c>
      <c r="D30" s="10" t="s">
        <v>197</v>
      </c>
      <c r="E30" s="52" t="s">
        <v>203</v>
      </c>
      <c r="F30" s="2" t="s">
        <v>36</v>
      </c>
      <c r="G30" s="13" t="s">
        <v>202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5" t="s">
        <v>41</v>
      </c>
      <c r="B31" s="8" t="s">
        <v>89</v>
      </c>
      <c r="C31" s="71" t="s">
        <v>201</v>
      </c>
      <c r="D31" s="72" t="s">
        <v>197</v>
      </c>
      <c r="E31" s="71" t="s">
        <v>201</v>
      </c>
      <c r="F31" s="70" t="s">
        <v>36</v>
      </c>
      <c r="G31" s="73" t="s">
        <v>202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4" t="s">
        <v>90</v>
      </c>
      <c r="B32" s="2" t="s">
        <v>48</v>
      </c>
      <c r="C32" s="35" t="s">
        <v>201</v>
      </c>
      <c r="D32" s="10" t="s">
        <v>197</v>
      </c>
      <c r="E32" s="52" t="s">
        <v>201</v>
      </c>
      <c r="F32" s="2" t="s">
        <v>36</v>
      </c>
      <c r="G32" s="13" t="s">
        <v>202</v>
      </c>
    </row>
    <row r="33" spans="1:7" x14ac:dyDescent="0.25">
      <c r="A33" s="14" t="s">
        <v>42</v>
      </c>
      <c r="B33" s="2" t="s">
        <v>49</v>
      </c>
      <c r="C33" s="35" t="s">
        <v>36</v>
      </c>
      <c r="D33" s="10" t="s">
        <v>197</v>
      </c>
      <c r="E33" s="52" t="s">
        <v>36</v>
      </c>
      <c r="F33" s="2" t="s">
        <v>36</v>
      </c>
      <c r="G33" s="13" t="s">
        <v>202</v>
      </c>
    </row>
    <row r="34" spans="1:7" x14ac:dyDescent="0.25">
      <c r="A34" s="56" t="s">
        <v>204</v>
      </c>
      <c r="B34" s="2" t="s">
        <v>50</v>
      </c>
      <c r="C34" s="35" t="s">
        <v>36</v>
      </c>
      <c r="D34" s="12" t="s">
        <v>199</v>
      </c>
      <c r="E34" s="52" t="s">
        <v>201</v>
      </c>
      <c r="F34" s="2" t="s">
        <v>36</v>
      </c>
      <c r="G34" s="2" t="s">
        <v>36</v>
      </c>
    </row>
    <row r="35" spans="1:7" x14ac:dyDescent="0.25">
      <c r="A35" s="56" t="s">
        <v>211</v>
      </c>
      <c r="B35" s="2" t="s">
        <v>51</v>
      </c>
      <c r="C35" s="35" t="s">
        <v>36</v>
      </c>
      <c r="D35" s="10" t="s">
        <v>197</v>
      </c>
      <c r="E35" s="52" t="s">
        <v>201</v>
      </c>
      <c r="F35" s="2" t="s">
        <v>36</v>
      </c>
      <c r="G35" s="13" t="s">
        <v>202</v>
      </c>
    </row>
    <row r="36" spans="1:7" x14ac:dyDescent="0.25">
      <c r="A36" s="14" t="s">
        <v>43</v>
      </c>
      <c r="B36" s="2" t="s">
        <v>52</v>
      </c>
      <c r="C36" s="35" t="s">
        <v>201</v>
      </c>
      <c r="D36" s="10" t="s">
        <v>197</v>
      </c>
      <c r="E36" s="52" t="s">
        <v>201</v>
      </c>
      <c r="F36" s="2" t="s">
        <v>36</v>
      </c>
      <c r="G36" s="13" t="s">
        <v>202</v>
      </c>
    </row>
    <row r="37" spans="1:7" x14ac:dyDescent="0.25">
      <c r="A37" s="14">
        <v>203076001000</v>
      </c>
      <c r="B37" s="2" t="s">
        <v>53</v>
      </c>
      <c r="C37" s="35" t="s">
        <v>36</v>
      </c>
      <c r="D37" s="10" t="s">
        <v>197</v>
      </c>
      <c r="E37" s="52" t="s">
        <v>201</v>
      </c>
      <c r="F37" s="2" t="s">
        <v>36</v>
      </c>
      <c r="G37" s="13" t="s">
        <v>202</v>
      </c>
    </row>
    <row r="38" spans="1:7" x14ac:dyDescent="0.25">
      <c r="A38" s="14" t="s">
        <v>44</v>
      </c>
      <c r="B38" s="2" t="s">
        <v>54</v>
      </c>
      <c r="C38" s="35" t="s">
        <v>36</v>
      </c>
      <c r="D38" s="10" t="s">
        <v>197</v>
      </c>
      <c r="E38" s="52" t="s">
        <v>201</v>
      </c>
      <c r="F38" s="2" t="s">
        <v>36</v>
      </c>
      <c r="G38" s="13" t="s">
        <v>202</v>
      </c>
    </row>
    <row r="39" spans="1:7" x14ac:dyDescent="0.25">
      <c r="A39" s="56" t="s">
        <v>207</v>
      </c>
      <c r="B39" s="2" t="s">
        <v>55</v>
      </c>
      <c r="C39" s="35" t="s">
        <v>36</v>
      </c>
      <c r="D39" s="12" t="s">
        <v>199</v>
      </c>
      <c r="E39" s="52" t="s">
        <v>201</v>
      </c>
      <c r="F39" s="2" t="s">
        <v>36</v>
      </c>
      <c r="G39" s="13" t="s">
        <v>202</v>
      </c>
    </row>
    <row r="40" spans="1:7" x14ac:dyDescent="0.25">
      <c r="A40" s="56" t="s">
        <v>208</v>
      </c>
      <c r="B40" s="2" t="s">
        <v>56</v>
      </c>
      <c r="C40" s="35" t="s">
        <v>36</v>
      </c>
      <c r="D40" s="12" t="s">
        <v>199</v>
      </c>
      <c r="E40" s="52" t="s">
        <v>201</v>
      </c>
      <c r="F40" s="2" t="s">
        <v>36</v>
      </c>
      <c r="G40" s="13" t="s">
        <v>202</v>
      </c>
    </row>
    <row r="41" spans="1:7" x14ac:dyDescent="0.25">
      <c r="A41" s="14" t="s">
        <v>45</v>
      </c>
      <c r="B41" s="2" t="s">
        <v>57</v>
      </c>
      <c r="C41" s="35" t="s">
        <v>36</v>
      </c>
      <c r="D41" s="12" t="s">
        <v>199</v>
      </c>
      <c r="E41" s="52" t="s">
        <v>201</v>
      </c>
      <c r="F41" s="2" t="s">
        <v>36</v>
      </c>
      <c r="G41" s="2" t="s">
        <v>36</v>
      </c>
    </row>
    <row r="42" spans="1:7" x14ac:dyDescent="0.25">
      <c r="A42" s="14" t="s">
        <v>46</v>
      </c>
      <c r="B42" s="2" t="s">
        <v>58</v>
      </c>
      <c r="C42" s="35" t="s">
        <v>36</v>
      </c>
      <c r="D42" s="10" t="s">
        <v>197</v>
      </c>
      <c r="E42" s="52" t="s">
        <v>36</v>
      </c>
      <c r="F42" s="53" t="s">
        <v>201</v>
      </c>
      <c r="G42" s="13" t="s">
        <v>202</v>
      </c>
    </row>
    <row r="43" spans="1:7" x14ac:dyDescent="0.25">
      <c r="A43" s="56" t="s">
        <v>209</v>
      </c>
      <c r="B43" s="2" t="s">
        <v>59</v>
      </c>
      <c r="C43" s="35" t="s">
        <v>36</v>
      </c>
      <c r="D43" s="10" t="s">
        <v>197</v>
      </c>
      <c r="E43" s="52" t="s">
        <v>201</v>
      </c>
      <c r="F43" s="53" t="s">
        <v>201</v>
      </c>
      <c r="G43" s="13" t="s">
        <v>202</v>
      </c>
    </row>
    <row r="44" spans="1:7" x14ac:dyDescent="0.25">
      <c r="A44" s="14" t="s">
        <v>47</v>
      </c>
      <c r="B44" s="2" t="s">
        <v>60</v>
      </c>
      <c r="C44" s="35" t="s">
        <v>201</v>
      </c>
      <c r="D44" s="10" t="s">
        <v>197</v>
      </c>
      <c r="E44" s="52" t="s">
        <v>201</v>
      </c>
      <c r="F44" s="53" t="s">
        <v>201</v>
      </c>
      <c r="G44" s="2" t="s">
        <v>36</v>
      </c>
    </row>
    <row r="45" spans="1:7" x14ac:dyDescent="0.25">
      <c r="A45" s="15" t="s">
        <v>2</v>
      </c>
      <c r="B45" s="9" t="s">
        <v>4</v>
      </c>
      <c r="C45" s="70" t="s">
        <v>203</v>
      </c>
      <c r="D45" s="8" t="s">
        <v>203</v>
      </c>
      <c r="E45" s="70" t="s">
        <v>203</v>
      </c>
      <c r="F45" s="8" t="s">
        <v>203</v>
      </c>
      <c r="G45" s="8" t="s">
        <v>203</v>
      </c>
    </row>
    <row r="46" spans="1:7" x14ac:dyDescent="0.25">
      <c r="A46" s="14" t="s">
        <v>61</v>
      </c>
      <c r="B46" s="14" t="s">
        <v>72</v>
      </c>
      <c r="C46" s="35" t="s">
        <v>36</v>
      </c>
      <c r="D46" s="10" t="s">
        <v>197</v>
      </c>
      <c r="E46" s="52" t="s">
        <v>36</v>
      </c>
      <c r="F46" s="2" t="s">
        <v>36</v>
      </c>
      <c r="G46" s="13" t="s">
        <v>202</v>
      </c>
    </row>
    <row r="47" spans="1:7" x14ac:dyDescent="0.25">
      <c r="A47" s="57" t="s">
        <v>204</v>
      </c>
      <c r="B47" s="2" t="s">
        <v>49</v>
      </c>
      <c r="C47" s="35" t="s">
        <v>36</v>
      </c>
      <c r="D47" s="10" t="s">
        <v>197</v>
      </c>
      <c r="E47" s="52" t="s">
        <v>201</v>
      </c>
      <c r="F47" s="2" t="s">
        <v>36</v>
      </c>
      <c r="G47" s="13" t="s">
        <v>202</v>
      </c>
    </row>
    <row r="48" spans="1:7" x14ac:dyDescent="0.25">
      <c r="A48" s="14" t="s">
        <v>62</v>
      </c>
      <c r="B48" s="2" t="s">
        <v>73</v>
      </c>
      <c r="C48" s="35" t="s">
        <v>201</v>
      </c>
      <c r="D48" s="10" t="s">
        <v>197</v>
      </c>
      <c r="E48" s="52" t="s">
        <v>201</v>
      </c>
      <c r="F48" s="53" t="s">
        <v>201</v>
      </c>
      <c r="G48" s="2" t="s">
        <v>36</v>
      </c>
    </row>
    <row r="49" spans="1:7" x14ac:dyDescent="0.25">
      <c r="A49" s="14" t="s">
        <v>63</v>
      </c>
      <c r="B49" s="2" t="s">
        <v>74</v>
      </c>
      <c r="C49" s="35" t="s">
        <v>201</v>
      </c>
      <c r="D49" s="12" t="s">
        <v>199</v>
      </c>
      <c r="E49" s="52" t="s">
        <v>201</v>
      </c>
      <c r="F49" s="2" t="s">
        <v>36</v>
      </c>
      <c r="G49" s="2" t="s">
        <v>36</v>
      </c>
    </row>
    <row r="50" spans="1:7" x14ac:dyDescent="0.25">
      <c r="A50" s="56" t="s">
        <v>205</v>
      </c>
      <c r="B50" s="2" t="s">
        <v>51</v>
      </c>
      <c r="C50" s="35" t="s">
        <v>36</v>
      </c>
      <c r="D50" s="10" t="s">
        <v>197</v>
      </c>
      <c r="E50" s="52" t="s">
        <v>36</v>
      </c>
      <c r="F50" s="53" t="s">
        <v>201</v>
      </c>
      <c r="G50" s="2" t="s">
        <v>36</v>
      </c>
    </row>
    <row r="51" spans="1:7" x14ac:dyDescent="0.25">
      <c r="A51" s="14" t="s">
        <v>64</v>
      </c>
      <c r="B51" s="2" t="s">
        <v>75</v>
      </c>
      <c r="C51" s="35" t="s">
        <v>36</v>
      </c>
      <c r="D51" s="10" t="s">
        <v>197</v>
      </c>
      <c r="E51" s="52" t="s">
        <v>36</v>
      </c>
      <c r="F51" s="53" t="s">
        <v>201</v>
      </c>
      <c r="G51" s="2" t="s">
        <v>36</v>
      </c>
    </row>
    <row r="52" spans="1:7" x14ac:dyDescent="0.25">
      <c r="A52" s="14" t="s">
        <v>44</v>
      </c>
      <c r="B52" s="2" t="s">
        <v>54</v>
      </c>
      <c r="C52" s="35" t="s">
        <v>36</v>
      </c>
      <c r="D52" s="10" t="s">
        <v>197</v>
      </c>
      <c r="E52" s="52" t="s">
        <v>201</v>
      </c>
      <c r="F52" s="53" t="s">
        <v>201</v>
      </c>
      <c r="G52" s="2" t="s">
        <v>36</v>
      </c>
    </row>
    <row r="53" spans="1:7" x14ac:dyDescent="0.25">
      <c r="A53" s="56" t="s">
        <v>206</v>
      </c>
      <c r="B53" s="2" t="s">
        <v>76</v>
      </c>
      <c r="C53" s="35" t="s">
        <v>36</v>
      </c>
      <c r="D53" s="12" t="s">
        <v>199</v>
      </c>
      <c r="E53" s="52" t="s">
        <v>201</v>
      </c>
      <c r="F53" s="2" t="s">
        <v>36</v>
      </c>
      <c r="G53" s="2" t="s">
        <v>36</v>
      </c>
    </row>
    <row r="54" spans="1:7" x14ac:dyDescent="0.25">
      <c r="A54" s="57" t="s">
        <v>207</v>
      </c>
      <c r="B54" s="2" t="s">
        <v>55</v>
      </c>
      <c r="C54" s="35" t="s">
        <v>36</v>
      </c>
      <c r="D54" s="12" t="s">
        <v>199</v>
      </c>
      <c r="E54" s="52" t="s">
        <v>201</v>
      </c>
      <c r="F54" s="2" t="s">
        <v>36</v>
      </c>
      <c r="G54" s="2" t="s">
        <v>36</v>
      </c>
    </row>
    <row r="55" spans="1:7" x14ac:dyDescent="0.25">
      <c r="A55" s="57" t="s">
        <v>208</v>
      </c>
      <c r="B55" s="2" t="s">
        <v>56</v>
      </c>
      <c r="C55" s="35" t="s">
        <v>36</v>
      </c>
      <c r="D55" s="12" t="s">
        <v>199</v>
      </c>
      <c r="E55" s="52" t="s">
        <v>201</v>
      </c>
      <c r="F55" s="2" t="s">
        <v>36</v>
      </c>
      <c r="G55" s="2" t="s">
        <v>36</v>
      </c>
    </row>
    <row r="56" spans="1:7" x14ac:dyDescent="0.25">
      <c r="A56" s="14" t="s">
        <v>65</v>
      </c>
      <c r="B56" s="2" t="s">
        <v>77</v>
      </c>
      <c r="C56" s="35" t="s">
        <v>36</v>
      </c>
      <c r="D56" s="10" t="s">
        <v>197</v>
      </c>
      <c r="E56" s="52" t="s">
        <v>36</v>
      </c>
      <c r="F56" s="53" t="s">
        <v>201</v>
      </c>
      <c r="G56" s="13" t="s">
        <v>202</v>
      </c>
    </row>
    <row r="57" spans="1:7" x14ac:dyDescent="0.25">
      <c r="A57" s="14" t="s">
        <v>46</v>
      </c>
      <c r="B57" s="2" t="s">
        <v>78</v>
      </c>
      <c r="C57" s="35" t="s">
        <v>36</v>
      </c>
      <c r="D57" s="10" t="s">
        <v>197</v>
      </c>
      <c r="E57" s="52" t="s">
        <v>36</v>
      </c>
      <c r="F57" s="53" t="s">
        <v>201</v>
      </c>
      <c r="G57" s="13" t="s">
        <v>202</v>
      </c>
    </row>
    <row r="58" spans="1:7" x14ac:dyDescent="0.25">
      <c r="A58" s="14">
        <v>203020004500</v>
      </c>
      <c r="B58" s="2" t="s">
        <v>79</v>
      </c>
      <c r="C58" s="35" t="s">
        <v>201</v>
      </c>
      <c r="D58" s="12" t="s">
        <v>199</v>
      </c>
      <c r="E58" s="52" t="s">
        <v>201</v>
      </c>
      <c r="F58" s="2" t="s">
        <v>36</v>
      </c>
      <c r="G58" s="2" t="s">
        <v>36</v>
      </c>
    </row>
    <row r="59" spans="1:7" x14ac:dyDescent="0.25">
      <c r="A59" s="14" t="s">
        <v>66</v>
      </c>
      <c r="B59" s="2" t="s">
        <v>80</v>
      </c>
      <c r="C59" s="35" t="s">
        <v>36</v>
      </c>
      <c r="D59" s="10" t="s">
        <v>197</v>
      </c>
      <c r="E59" s="52" t="s">
        <v>36</v>
      </c>
      <c r="F59" s="2" t="s">
        <v>36</v>
      </c>
      <c r="G59" s="13" t="s">
        <v>202</v>
      </c>
    </row>
    <row r="60" spans="1:7" x14ac:dyDescent="0.25">
      <c r="A60" s="56" t="s">
        <v>209</v>
      </c>
      <c r="B60" s="2" t="s">
        <v>81</v>
      </c>
      <c r="C60" s="35" t="s">
        <v>36</v>
      </c>
      <c r="D60" s="10" t="s">
        <v>197</v>
      </c>
      <c r="E60" s="52" t="s">
        <v>201</v>
      </c>
      <c r="F60" s="53" t="s">
        <v>201</v>
      </c>
      <c r="G60" s="2" t="s">
        <v>36</v>
      </c>
    </row>
    <row r="61" spans="1:7" x14ac:dyDescent="0.25">
      <c r="A61" s="14">
        <v>203065094300</v>
      </c>
      <c r="B61" s="2" t="s">
        <v>82</v>
      </c>
      <c r="C61" s="35" t="s">
        <v>36</v>
      </c>
      <c r="D61" s="10" t="s">
        <v>197</v>
      </c>
      <c r="E61" s="52" t="s">
        <v>36</v>
      </c>
      <c r="F61" s="53" t="s">
        <v>201</v>
      </c>
      <c r="G61" s="2" t="s">
        <v>36</v>
      </c>
    </row>
    <row r="62" spans="1:7" x14ac:dyDescent="0.25">
      <c r="A62" s="14" t="s">
        <v>67</v>
      </c>
      <c r="B62" s="2" t="s">
        <v>83</v>
      </c>
      <c r="C62" s="35" t="s">
        <v>201</v>
      </c>
      <c r="D62" s="12" t="s">
        <v>199</v>
      </c>
      <c r="E62" s="52" t="s">
        <v>201</v>
      </c>
      <c r="F62" s="2" t="s">
        <v>36</v>
      </c>
      <c r="G62" s="2" t="s">
        <v>36</v>
      </c>
    </row>
    <row r="63" spans="1:7" x14ac:dyDescent="0.25">
      <c r="A63" s="14" t="s">
        <v>68</v>
      </c>
      <c r="B63" s="2" t="s">
        <v>84</v>
      </c>
      <c r="C63" s="35" t="s">
        <v>201</v>
      </c>
      <c r="D63" s="12" t="s">
        <v>199</v>
      </c>
      <c r="E63" s="52" t="s">
        <v>201</v>
      </c>
      <c r="F63" s="2" t="s">
        <v>36</v>
      </c>
      <c r="G63" s="2" t="s">
        <v>36</v>
      </c>
    </row>
    <row r="64" spans="1:7" x14ac:dyDescent="0.25">
      <c r="A64" s="14" t="s">
        <v>69</v>
      </c>
      <c r="B64" s="2" t="s">
        <v>49</v>
      </c>
      <c r="C64" s="35" t="s">
        <v>201</v>
      </c>
      <c r="D64" s="12" t="s">
        <v>199</v>
      </c>
      <c r="E64" s="52" t="s">
        <v>201</v>
      </c>
      <c r="F64" s="2" t="s">
        <v>36</v>
      </c>
      <c r="G64" s="2" t="s">
        <v>36</v>
      </c>
    </row>
    <row r="65" spans="1:7" x14ac:dyDescent="0.25">
      <c r="A65" s="14" t="s">
        <v>70</v>
      </c>
      <c r="B65" s="2" t="s">
        <v>85</v>
      </c>
      <c r="C65" s="35" t="s">
        <v>201</v>
      </c>
      <c r="D65" s="10" t="s">
        <v>197</v>
      </c>
      <c r="E65" s="52" t="s">
        <v>201</v>
      </c>
      <c r="F65" s="2" t="s">
        <v>36</v>
      </c>
      <c r="G65" s="13" t="s">
        <v>202</v>
      </c>
    </row>
    <row r="66" spans="1:7" x14ac:dyDescent="0.25">
      <c r="A66" s="14" t="s">
        <v>71</v>
      </c>
      <c r="B66" s="2" t="s">
        <v>86</v>
      </c>
      <c r="C66" s="35" t="s">
        <v>36</v>
      </c>
      <c r="D66" s="12" t="s">
        <v>199</v>
      </c>
      <c r="E66" s="52" t="s">
        <v>36</v>
      </c>
      <c r="F66" s="2" t="s">
        <v>36</v>
      </c>
      <c r="G66" s="2" t="s">
        <v>36</v>
      </c>
    </row>
    <row r="67" spans="1:7" x14ac:dyDescent="0.25">
      <c r="A67" s="15" t="s">
        <v>11</v>
      </c>
      <c r="B67" s="9" t="s">
        <v>5</v>
      </c>
      <c r="C67" s="70" t="s">
        <v>203</v>
      </c>
      <c r="D67" s="8" t="s">
        <v>203</v>
      </c>
      <c r="E67" s="70" t="s">
        <v>203</v>
      </c>
      <c r="F67" s="8" t="s">
        <v>203</v>
      </c>
      <c r="G67" s="8" t="s">
        <v>203</v>
      </c>
    </row>
    <row r="68" spans="1:7" x14ac:dyDescent="0.25">
      <c r="A68" s="14">
        <v>203058026700</v>
      </c>
      <c r="B68" s="14" t="s">
        <v>92</v>
      </c>
      <c r="C68" s="35" t="s">
        <v>36</v>
      </c>
      <c r="D68" s="10" t="s">
        <v>197</v>
      </c>
      <c r="E68" s="52" t="s">
        <v>36</v>
      </c>
      <c r="F68" s="2" t="s">
        <v>36</v>
      </c>
      <c r="G68" s="13" t="s">
        <v>202</v>
      </c>
    </row>
    <row r="69" spans="1:7" x14ac:dyDescent="0.25">
      <c r="A69" s="14">
        <v>203012000100</v>
      </c>
      <c r="B69" s="14" t="s">
        <v>93</v>
      </c>
      <c r="C69" s="35" t="s">
        <v>36</v>
      </c>
      <c r="D69" s="12" t="s">
        <v>199</v>
      </c>
      <c r="E69" s="52" t="s">
        <v>201</v>
      </c>
      <c r="F69" s="2" t="s">
        <v>36</v>
      </c>
      <c r="G69" s="2" t="s">
        <v>36</v>
      </c>
    </row>
    <row r="70" spans="1:7" x14ac:dyDescent="0.25">
      <c r="A70" s="14">
        <v>203038001900</v>
      </c>
      <c r="B70" s="14" t="s">
        <v>37</v>
      </c>
      <c r="C70" s="35" t="s">
        <v>36</v>
      </c>
      <c r="D70" s="12" t="s">
        <v>199</v>
      </c>
      <c r="E70" s="52" t="s">
        <v>36</v>
      </c>
      <c r="F70" s="2" t="s">
        <v>36</v>
      </c>
      <c r="G70" s="2" t="s">
        <v>36</v>
      </c>
    </row>
    <row r="71" spans="1:7" x14ac:dyDescent="0.25">
      <c r="A71" s="14">
        <v>203012000200</v>
      </c>
      <c r="B71" s="14" t="s">
        <v>94</v>
      </c>
      <c r="C71" s="35" t="s">
        <v>36</v>
      </c>
      <c r="D71" s="12" t="s">
        <v>199</v>
      </c>
      <c r="E71" s="52" t="s">
        <v>201</v>
      </c>
      <c r="F71" s="2" t="s">
        <v>36</v>
      </c>
      <c r="G71" s="2" t="s">
        <v>36</v>
      </c>
    </row>
    <row r="72" spans="1:7" x14ac:dyDescent="0.25">
      <c r="A72" s="14">
        <v>203038002400</v>
      </c>
      <c r="B72" s="14" t="s">
        <v>37</v>
      </c>
      <c r="C72" s="35" t="s">
        <v>36</v>
      </c>
      <c r="D72" s="12" t="s">
        <v>199</v>
      </c>
      <c r="E72" s="52" t="s">
        <v>36</v>
      </c>
      <c r="F72" s="2" t="s">
        <v>36</v>
      </c>
      <c r="G72" s="2" t="s">
        <v>36</v>
      </c>
    </row>
    <row r="73" spans="1:7" x14ac:dyDescent="0.25">
      <c r="A73" s="14" t="s">
        <v>91</v>
      </c>
      <c r="B73" s="14" t="s">
        <v>78</v>
      </c>
      <c r="C73" s="35" t="s">
        <v>36</v>
      </c>
      <c r="D73" s="10" t="s">
        <v>197</v>
      </c>
      <c r="E73" s="52" t="s">
        <v>36</v>
      </c>
      <c r="F73" s="2" t="s">
        <v>36</v>
      </c>
      <c r="G73" s="13" t="s">
        <v>202</v>
      </c>
    </row>
    <row r="74" spans="1:7" x14ac:dyDescent="0.25">
      <c r="A74" s="14">
        <v>203065027700</v>
      </c>
      <c r="B74" s="14" t="s">
        <v>95</v>
      </c>
      <c r="C74" s="35" t="s">
        <v>201</v>
      </c>
      <c r="D74" s="10" t="s">
        <v>197</v>
      </c>
      <c r="E74" s="52" t="s">
        <v>201</v>
      </c>
      <c r="F74" s="2" t="s">
        <v>36</v>
      </c>
      <c r="G74" s="13" t="s">
        <v>202</v>
      </c>
    </row>
    <row r="75" spans="1:7" x14ac:dyDescent="0.25">
      <c r="A75" s="15" t="s">
        <v>13</v>
      </c>
      <c r="B75" s="9" t="s">
        <v>7</v>
      </c>
      <c r="C75" s="70" t="s">
        <v>203</v>
      </c>
      <c r="D75" s="8" t="s">
        <v>203</v>
      </c>
      <c r="E75" s="70" t="s">
        <v>203</v>
      </c>
      <c r="F75" s="8" t="s">
        <v>203</v>
      </c>
      <c r="G75" s="8" t="s">
        <v>203</v>
      </c>
    </row>
    <row r="76" spans="1:7" x14ac:dyDescent="0.25">
      <c r="A76" s="14" t="s">
        <v>102</v>
      </c>
      <c r="B76" s="14" t="s">
        <v>96</v>
      </c>
      <c r="C76" s="35" t="s">
        <v>36</v>
      </c>
      <c r="D76" s="10" t="s">
        <v>197</v>
      </c>
      <c r="E76" s="52" t="s">
        <v>201</v>
      </c>
      <c r="F76" s="53" t="s">
        <v>201</v>
      </c>
      <c r="G76" s="13" t="s">
        <v>202</v>
      </c>
    </row>
    <row r="77" spans="1:7" x14ac:dyDescent="0.25">
      <c r="A77" s="14">
        <v>203052001000</v>
      </c>
      <c r="B77" s="14" t="s">
        <v>97</v>
      </c>
      <c r="C77" s="35" t="s">
        <v>36</v>
      </c>
      <c r="D77" s="12" t="s">
        <v>199</v>
      </c>
      <c r="E77" s="52" t="s">
        <v>36</v>
      </c>
      <c r="F77" s="2" t="s">
        <v>36</v>
      </c>
      <c r="G77" s="2" t="s">
        <v>36</v>
      </c>
    </row>
    <row r="78" spans="1:7" x14ac:dyDescent="0.25">
      <c r="A78" s="14" t="s">
        <v>103</v>
      </c>
      <c r="B78" s="14" t="s">
        <v>49</v>
      </c>
      <c r="C78" s="35" t="s">
        <v>36</v>
      </c>
      <c r="D78" s="10" t="s">
        <v>197</v>
      </c>
      <c r="E78" s="52" t="s">
        <v>201</v>
      </c>
      <c r="F78" s="53" t="s">
        <v>201</v>
      </c>
      <c r="G78" s="2" t="s">
        <v>36</v>
      </c>
    </row>
    <row r="79" spans="1:7" x14ac:dyDescent="0.25">
      <c r="A79" s="14" t="s">
        <v>104</v>
      </c>
      <c r="B79" s="14" t="s">
        <v>98</v>
      </c>
      <c r="C79" s="35" t="s">
        <v>36</v>
      </c>
      <c r="D79" s="10" t="s">
        <v>197</v>
      </c>
      <c r="E79" s="52" t="s">
        <v>36</v>
      </c>
      <c r="F79" s="53" t="s">
        <v>201</v>
      </c>
      <c r="G79" s="13" t="s">
        <v>202</v>
      </c>
    </row>
    <row r="80" spans="1:7" x14ac:dyDescent="0.25">
      <c r="A80" s="14" t="s">
        <v>105</v>
      </c>
      <c r="B80" s="14" t="s">
        <v>99</v>
      </c>
      <c r="C80" s="35" t="s">
        <v>36</v>
      </c>
      <c r="D80" s="12" t="s">
        <v>199</v>
      </c>
      <c r="E80" s="52" t="s">
        <v>36</v>
      </c>
      <c r="F80" s="2" t="s">
        <v>36</v>
      </c>
      <c r="G80" s="2" t="s">
        <v>36</v>
      </c>
    </row>
    <row r="81" spans="1:7" x14ac:dyDescent="0.25">
      <c r="A81" s="14">
        <v>260001001500</v>
      </c>
      <c r="B81" s="14" t="s">
        <v>100</v>
      </c>
      <c r="C81" s="35" t="s">
        <v>36</v>
      </c>
      <c r="D81" s="10" t="s">
        <v>197</v>
      </c>
      <c r="E81" s="52" t="s">
        <v>36</v>
      </c>
      <c r="F81" s="53" t="s">
        <v>201</v>
      </c>
      <c r="G81" s="2" t="s">
        <v>36</v>
      </c>
    </row>
    <row r="82" spans="1:7" x14ac:dyDescent="0.25">
      <c r="A82" s="14" t="s">
        <v>106</v>
      </c>
      <c r="B82" s="14" t="s">
        <v>101</v>
      </c>
      <c r="C82" s="35" t="s">
        <v>36</v>
      </c>
      <c r="D82" s="12" t="s">
        <v>199</v>
      </c>
      <c r="E82" s="52" t="s">
        <v>36</v>
      </c>
      <c r="F82" s="2" t="s">
        <v>36</v>
      </c>
      <c r="G82" s="2" t="s">
        <v>36</v>
      </c>
    </row>
    <row r="83" spans="1:7" x14ac:dyDescent="0.25">
      <c r="A83" s="15">
        <v>260001001500</v>
      </c>
      <c r="B83" s="15" t="s">
        <v>107</v>
      </c>
      <c r="C83" s="70" t="s">
        <v>203</v>
      </c>
      <c r="D83" s="8" t="s">
        <v>203</v>
      </c>
      <c r="E83" s="70" t="s">
        <v>203</v>
      </c>
      <c r="F83" s="8" t="s">
        <v>203</v>
      </c>
      <c r="G83" s="8" t="s">
        <v>203</v>
      </c>
    </row>
    <row r="84" spans="1:7" x14ac:dyDescent="0.25">
      <c r="A84" s="56" t="s">
        <v>212</v>
      </c>
      <c r="B84" s="14" t="s">
        <v>109</v>
      </c>
      <c r="C84" s="35" t="s">
        <v>36</v>
      </c>
      <c r="D84" s="10" t="s">
        <v>197</v>
      </c>
      <c r="E84" s="52" t="s">
        <v>36</v>
      </c>
      <c r="F84" s="2" t="s">
        <v>36</v>
      </c>
      <c r="G84" s="13" t="s">
        <v>202</v>
      </c>
    </row>
    <row r="85" spans="1:7" x14ac:dyDescent="0.25">
      <c r="A85" s="56" t="s">
        <v>213</v>
      </c>
      <c r="B85" s="14" t="s">
        <v>110</v>
      </c>
      <c r="C85" s="35" t="s">
        <v>36</v>
      </c>
      <c r="D85" s="10" t="s">
        <v>197</v>
      </c>
      <c r="E85" s="52" t="s">
        <v>36</v>
      </c>
      <c r="F85" s="53" t="s">
        <v>201</v>
      </c>
      <c r="G85" s="2" t="s">
        <v>36</v>
      </c>
    </row>
    <row r="86" spans="1:7" x14ac:dyDescent="0.25">
      <c r="A86" s="56" t="s">
        <v>214</v>
      </c>
      <c r="B86" s="14" t="s">
        <v>111</v>
      </c>
      <c r="C86" s="35" t="s">
        <v>36</v>
      </c>
      <c r="D86" s="10" t="s">
        <v>197</v>
      </c>
      <c r="E86" s="52" t="s">
        <v>36</v>
      </c>
      <c r="F86" s="53" t="s">
        <v>201</v>
      </c>
      <c r="G86" s="2" t="s">
        <v>36</v>
      </c>
    </row>
    <row r="87" spans="1:7" x14ac:dyDescent="0.25">
      <c r="A87" s="56" t="s">
        <v>215</v>
      </c>
      <c r="B87" s="14" t="s">
        <v>112</v>
      </c>
      <c r="C87" s="35" t="s">
        <v>36</v>
      </c>
      <c r="D87" s="10" t="s">
        <v>197</v>
      </c>
      <c r="E87" s="52" t="s">
        <v>36</v>
      </c>
      <c r="F87" s="53" t="s">
        <v>201</v>
      </c>
      <c r="G87" s="2" t="s">
        <v>36</v>
      </c>
    </row>
    <row r="88" spans="1:7" x14ac:dyDescent="0.25">
      <c r="A88" s="56" t="s">
        <v>216</v>
      </c>
      <c r="B88" s="14" t="s">
        <v>113</v>
      </c>
      <c r="C88" s="35" t="s">
        <v>36</v>
      </c>
      <c r="D88" s="10" t="s">
        <v>197</v>
      </c>
      <c r="E88" s="52" t="s">
        <v>36</v>
      </c>
      <c r="F88" s="53" t="s">
        <v>201</v>
      </c>
      <c r="G88" s="2" t="s">
        <v>36</v>
      </c>
    </row>
    <row r="89" spans="1:7" x14ac:dyDescent="0.25">
      <c r="A89" s="56" t="s">
        <v>217</v>
      </c>
      <c r="B89" s="14" t="s">
        <v>114</v>
      </c>
      <c r="C89" s="35" t="s">
        <v>36</v>
      </c>
      <c r="D89" s="10" t="s">
        <v>197</v>
      </c>
      <c r="E89" s="52" t="s">
        <v>36</v>
      </c>
      <c r="F89" s="53" t="s">
        <v>201</v>
      </c>
      <c r="G89" s="2" t="s">
        <v>36</v>
      </c>
    </row>
    <row r="90" spans="1:7" x14ac:dyDescent="0.25">
      <c r="A90" s="56" t="s">
        <v>218</v>
      </c>
      <c r="B90" s="14" t="s">
        <v>115</v>
      </c>
      <c r="C90" s="35" t="s">
        <v>36</v>
      </c>
      <c r="D90" s="10" t="s">
        <v>197</v>
      </c>
      <c r="E90" s="52" t="s">
        <v>36</v>
      </c>
      <c r="F90" s="53" t="s">
        <v>201</v>
      </c>
      <c r="G90" s="2" t="s">
        <v>36</v>
      </c>
    </row>
    <row r="91" spans="1:7" x14ac:dyDescent="0.25">
      <c r="A91" s="56" t="s">
        <v>219</v>
      </c>
      <c r="B91" s="14" t="s">
        <v>116</v>
      </c>
      <c r="C91" s="35" t="s">
        <v>36</v>
      </c>
      <c r="D91" s="10" t="s">
        <v>197</v>
      </c>
      <c r="E91" s="52" t="s">
        <v>36</v>
      </c>
      <c r="F91" s="53" t="s">
        <v>201</v>
      </c>
      <c r="G91" s="2" t="s">
        <v>36</v>
      </c>
    </row>
    <row r="92" spans="1:7" x14ac:dyDescent="0.25">
      <c r="A92" s="56" t="s">
        <v>220</v>
      </c>
      <c r="B92" s="14" t="s">
        <v>117</v>
      </c>
      <c r="C92" s="35" t="s">
        <v>36</v>
      </c>
      <c r="D92" s="10" t="s">
        <v>197</v>
      </c>
      <c r="E92" s="52" t="s">
        <v>36</v>
      </c>
      <c r="F92" s="53" t="s">
        <v>201</v>
      </c>
      <c r="G92" s="2" t="s">
        <v>36</v>
      </c>
    </row>
    <row r="93" spans="1:7" x14ac:dyDescent="0.25">
      <c r="A93" s="56" t="s">
        <v>221</v>
      </c>
      <c r="B93" s="14" t="s">
        <v>118</v>
      </c>
      <c r="C93" s="35" t="s">
        <v>36</v>
      </c>
      <c r="D93" s="10" t="s">
        <v>197</v>
      </c>
      <c r="E93" s="52" t="s">
        <v>36</v>
      </c>
      <c r="F93" s="53" t="s">
        <v>201</v>
      </c>
      <c r="G93" s="2" t="s">
        <v>36</v>
      </c>
    </row>
    <row r="94" spans="1:7" x14ac:dyDescent="0.25">
      <c r="A94" s="56" t="s">
        <v>222</v>
      </c>
      <c r="B94" s="14" t="s">
        <v>119</v>
      </c>
      <c r="C94" s="35" t="s">
        <v>36</v>
      </c>
      <c r="D94" s="10" t="s">
        <v>197</v>
      </c>
      <c r="E94" s="52" t="s">
        <v>201</v>
      </c>
      <c r="F94" s="53" t="s">
        <v>201</v>
      </c>
      <c r="G94" s="2" t="s">
        <v>36</v>
      </c>
    </row>
    <row r="95" spans="1:7" x14ac:dyDescent="0.25">
      <c r="A95" s="56" t="s">
        <v>223</v>
      </c>
      <c r="B95" s="14" t="s">
        <v>120</v>
      </c>
      <c r="C95" s="35" t="s">
        <v>36</v>
      </c>
      <c r="D95" s="10" t="s">
        <v>197</v>
      </c>
      <c r="E95" s="52" t="s">
        <v>201</v>
      </c>
      <c r="F95" s="2" t="s">
        <v>36</v>
      </c>
      <c r="G95" s="13" t="s">
        <v>202</v>
      </c>
    </row>
    <row r="96" spans="1:7" x14ac:dyDescent="0.25">
      <c r="A96" s="56" t="s">
        <v>224</v>
      </c>
      <c r="B96" s="14" t="s">
        <v>121</v>
      </c>
      <c r="C96" s="35" t="s">
        <v>36</v>
      </c>
      <c r="D96" s="10" t="s">
        <v>197</v>
      </c>
      <c r="E96" s="52" t="s">
        <v>201</v>
      </c>
      <c r="F96" s="53" t="s">
        <v>201</v>
      </c>
      <c r="G96" s="2" t="s">
        <v>36</v>
      </c>
    </row>
    <row r="97" spans="1:7" x14ac:dyDescent="0.25">
      <c r="A97" s="56" t="s">
        <v>225</v>
      </c>
      <c r="B97" s="14" t="s">
        <v>122</v>
      </c>
      <c r="C97" s="35" t="s">
        <v>36</v>
      </c>
      <c r="D97" s="10" t="s">
        <v>197</v>
      </c>
      <c r="E97" s="52" t="s">
        <v>201</v>
      </c>
      <c r="F97" s="53" t="s">
        <v>201</v>
      </c>
      <c r="G97" s="2" t="s">
        <v>36</v>
      </c>
    </row>
    <row r="98" spans="1:7" x14ac:dyDescent="0.25">
      <c r="A98" s="14">
        <v>203004005000</v>
      </c>
      <c r="B98" s="14" t="s">
        <v>123</v>
      </c>
      <c r="C98" s="35" t="s">
        <v>36</v>
      </c>
      <c r="D98" s="10" t="s">
        <v>197</v>
      </c>
      <c r="E98" s="52" t="s">
        <v>36</v>
      </c>
      <c r="F98" s="2" t="s">
        <v>36</v>
      </c>
      <c r="G98" s="13" t="s">
        <v>202</v>
      </c>
    </row>
    <row r="99" spans="1:7" x14ac:dyDescent="0.25">
      <c r="A99" s="14">
        <v>203006002300</v>
      </c>
      <c r="B99" s="14" t="s">
        <v>124</v>
      </c>
      <c r="C99" s="35" t="s">
        <v>36</v>
      </c>
      <c r="D99" s="10" t="s">
        <v>197</v>
      </c>
      <c r="E99" s="52" t="s">
        <v>201</v>
      </c>
      <c r="F99" s="2" t="s">
        <v>36</v>
      </c>
      <c r="G99" s="13" t="s">
        <v>202</v>
      </c>
    </row>
    <row r="100" spans="1:7" x14ac:dyDescent="0.25">
      <c r="A100" s="14">
        <v>203006002400</v>
      </c>
      <c r="B100" s="14" t="s">
        <v>125</v>
      </c>
      <c r="C100" s="35" t="s">
        <v>36</v>
      </c>
      <c r="D100" s="10" t="s">
        <v>197</v>
      </c>
      <c r="E100" s="52" t="s">
        <v>201</v>
      </c>
      <c r="F100" s="2" t="s">
        <v>36</v>
      </c>
      <c r="G100" s="13" t="s">
        <v>202</v>
      </c>
    </row>
    <row r="101" spans="1:7" x14ac:dyDescent="0.25">
      <c r="A101" s="14">
        <v>203009002700</v>
      </c>
      <c r="B101" s="14" t="s">
        <v>126</v>
      </c>
      <c r="C101" s="35" t="s">
        <v>36</v>
      </c>
      <c r="D101" s="10" t="s">
        <v>197</v>
      </c>
      <c r="E101" s="52" t="s">
        <v>201</v>
      </c>
      <c r="F101" s="53" t="s">
        <v>201</v>
      </c>
      <c r="G101" s="2" t="s">
        <v>36</v>
      </c>
    </row>
    <row r="102" spans="1:7" x14ac:dyDescent="0.25">
      <c r="A102" s="14">
        <v>203009002800</v>
      </c>
      <c r="B102" s="14" t="s">
        <v>126</v>
      </c>
      <c r="C102" s="35" t="s">
        <v>36</v>
      </c>
      <c r="D102" s="10" t="s">
        <v>197</v>
      </c>
      <c r="E102" s="52" t="s">
        <v>201</v>
      </c>
      <c r="F102" s="53" t="s">
        <v>201</v>
      </c>
      <c r="G102" s="2" t="s">
        <v>36</v>
      </c>
    </row>
    <row r="103" spans="1:7" x14ac:dyDescent="0.25">
      <c r="A103" s="14">
        <v>203014025500</v>
      </c>
      <c r="B103" s="14" t="s">
        <v>127</v>
      </c>
      <c r="C103" s="35" t="s">
        <v>36</v>
      </c>
      <c r="D103" s="12" t="s">
        <v>199</v>
      </c>
      <c r="E103" s="52" t="s">
        <v>201</v>
      </c>
      <c r="F103" s="2" t="s">
        <v>36</v>
      </c>
      <c r="G103" s="2" t="s">
        <v>36</v>
      </c>
    </row>
    <row r="104" spans="1:7" x14ac:dyDescent="0.25">
      <c r="A104" s="14">
        <v>203014030000</v>
      </c>
      <c r="B104" s="14" t="s">
        <v>128</v>
      </c>
      <c r="C104" s="35" t="s">
        <v>36</v>
      </c>
      <c r="D104" s="12" t="s">
        <v>199</v>
      </c>
      <c r="E104" s="52" t="s">
        <v>36</v>
      </c>
      <c r="F104" s="2" t="s">
        <v>36</v>
      </c>
      <c r="G104" s="2" t="s">
        <v>36</v>
      </c>
    </row>
    <row r="105" spans="1:7" x14ac:dyDescent="0.25">
      <c r="A105" s="14">
        <v>203046020900</v>
      </c>
      <c r="B105" s="14" t="s">
        <v>129</v>
      </c>
      <c r="C105" s="35" t="s">
        <v>36</v>
      </c>
      <c r="D105" s="10" t="s">
        <v>197</v>
      </c>
      <c r="E105" s="52" t="s">
        <v>201</v>
      </c>
      <c r="F105" s="53" t="s">
        <v>201</v>
      </c>
      <c r="G105" s="13" t="s">
        <v>202</v>
      </c>
    </row>
    <row r="106" spans="1:7" x14ac:dyDescent="0.25">
      <c r="A106" s="14">
        <v>203046021000</v>
      </c>
      <c r="B106" s="14" t="s">
        <v>130</v>
      </c>
      <c r="C106" s="35" t="s">
        <v>36</v>
      </c>
      <c r="D106" s="10" t="s">
        <v>197</v>
      </c>
      <c r="E106" s="52" t="s">
        <v>36</v>
      </c>
      <c r="F106" s="53" t="s">
        <v>201</v>
      </c>
      <c r="G106" s="13" t="s">
        <v>202</v>
      </c>
    </row>
    <row r="107" spans="1:7" x14ac:dyDescent="0.25">
      <c r="A107" s="14">
        <v>203059000200</v>
      </c>
      <c r="B107" s="14" t="s">
        <v>131</v>
      </c>
      <c r="C107" s="35" t="s">
        <v>36</v>
      </c>
      <c r="D107" s="10" t="s">
        <v>197</v>
      </c>
      <c r="E107" s="52" t="s">
        <v>201</v>
      </c>
      <c r="F107" s="53" t="s">
        <v>201</v>
      </c>
      <c r="G107" s="13" t="s">
        <v>202</v>
      </c>
    </row>
    <row r="108" spans="1:7" x14ac:dyDescent="0.25">
      <c r="A108" s="14">
        <v>203061002100</v>
      </c>
      <c r="B108" s="14" t="s">
        <v>132</v>
      </c>
      <c r="C108" s="35" t="s">
        <v>36</v>
      </c>
      <c r="D108" s="10" t="s">
        <v>197</v>
      </c>
      <c r="E108" s="52" t="s">
        <v>36</v>
      </c>
      <c r="F108" s="53" t="s">
        <v>201</v>
      </c>
      <c r="G108" s="13" t="s">
        <v>202</v>
      </c>
    </row>
    <row r="109" spans="1:7" x14ac:dyDescent="0.25">
      <c r="A109" s="14">
        <v>203063010000</v>
      </c>
      <c r="B109" s="14" t="s">
        <v>133</v>
      </c>
      <c r="C109" s="35" t="s">
        <v>36</v>
      </c>
      <c r="D109" s="10" t="s">
        <v>197</v>
      </c>
      <c r="E109" s="52" t="s">
        <v>36</v>
      </c>
      <c r="F109" s="2" t="s">
        <v>36</v>
      </c>
      <c r="G109" s="13" t="s">
        <v>202</v>
      </c>
    </row>
    <row r="110" spans="1:7" x14ac:dyDescent="0.25">
      <c r="A110" s="14">
        <v>203065039400</v>
      </c>
      <c r="B110" s="14" t="s">
        <v>108</v>
      </c>
      <c r="C110" s="35" t="s">
        <v>36</v>
      </c>
      <c r="D110" s="10" t="s">
        <v>197</v>
      </c>
      <c r="E110" s="52" t="s">
        <v>201</v>
      </c>
      <c r="F110" s="2" t="s">
        <v>36</v>
      </c>
      <c r="G110" s="13" t="s">
        <v>202</v>
      </c>
    </row>
    <row r="111" spans="1:7" x14ac:dyDescent="0.25">
      <c r="A111" s="14">
        <v>203065039500</v>
      </c>
      <c r="B111" s="14" t="s">
        <v>108</v>
      </c>
      <c r="C111" s="35" t="s">
        <v>36</v>
      </c>
      <c r="D111" s="10" t="s">
        <v>197</v>
      </c>
      <c r="E111" s="52" t="s">
        <v>201</v>
      </c>
      <c r="F111" s="2" t="s">
        <v>36</v>
      </c>
      <c r="G111" s="13" t="s">
        <v>202</v>
      </c>
    </row>
    <row r="112" spans="1:7" x14ac:dyDescent="0.25">
      <c r="A112" s="15" t="s">
        <v>14</v>
      </c>
      <c r="B112" s="15" t="s">
        <v>134</v>
      </c>
      <c r="C112" s="70" t="s">
        <v>203</v>
      </c>
      <c r="D112" s="8" t="s">
        <v>203</v>
      </c>
      <c r="E112" s="70" t="s">
        <v>203</v>
      </c>
      <c r="F112" s="8" t="s">
        <v>203</v>
      </c>
      <c r="G112" s="8" t="s">
        <v>203</v>
      </c>
    </row>
    <row r="113" spans="1:7" x14ac:dyDescent="0.25">
      <c r="A113" s="14">
        <v>260024000100</v>
      </c>
      <c r="B113" s="14" t="s">
        <v>140</v>
      </c>
      <c r="C113" s="35" t="s">
        <v>36</v>
      </c>
      <c r="D113" s="10" t="s">
        <v>197</v>
      </c>
      <c r="E113" s="52" t="s">
        <v>201</v>
      </c>
      <c r="F113" s="2" t="s">
        <v>36</v>
      </c>
      <c r="G113" s="13" t="s">
        <v>202</v>
      </c>
    </row>
    <row r="114" spans="1:7" x14ac:dyDescent="0.25">
      <c r="A114" s="14" t="s">
        <v>136</v>
      </c>
      <c r="B114" s="14" t="s">
        <v>141</v>
      </c>
      <c r="C114" s="35" t="s">
        <v>36</v>
      </c>
      <c r="D114" s="10" t="s">
        <v>197</v>
      </c>
      <c r="E114" s="52" t="s">
        <v>36</v>
      </c>
      <c r="F114" s="2" t="s">
        <v>36</v>
      </c>
      <c r="G114" s="13" t="s">
        <v>202</v>
      </c>
    </row>
    <row r="115" spans="1:7" x14ac:dyDescent="0.25">
      <c r="A115" s="56" t="s">
        <v>227</v>
      </c>
      <c r="B115" s="14" t="s">
        <v>142</v>
      </c>
      <c r="C115" s="35" t="s">
        <v>36</v>
      </c>
      <c r="D115" s="10" t="s">
        <v>197</v>
      </c>
      <c r="E115" s="52" t="s">
        <v>201</v>
      </c>
      <c r="F115" s="2" t="s">
        <v>36</v>
      </c>
      <c r="G115" s="13" t="s">
        <v>202</v>
      </c>
    </row>
    <row r="116" spans="1:7" x14ac:dyDescent="0.25">
      <c r="A116" s="56" t="s">
        <v>226</v>
      </c>
      <c r="B116" s="14" t="s">
        <v>143</v>
      </c>
      <c r="C116" s="35" t="s">
        <v>36</v>
      </c>
      <c r="D116" s="10" t="s">
        <v>197</v>
      </c>
      <c r="E116" s="52" t="s">
        <v>201</v>
      </c>
      <c r="F116" s="53" t="s">
        <v>201</v>
      </c>
      <c r="G116" s="13" t="s">
        <v>202</v>
      </c>
    </row>
    <row r="117" spans="1:7" x14ac:dyDescent="0.25">
      <c r="A117" s="14" t="s">
        <v>103</v>
      </c>
      <c r="B117" s="14" t="s">
        <v>49</v>
      </c>
      <c r="C117" s="35" t="s">
        <v>36</v>
      </c>
      <c r="D117" s="10" t="s">
        <v>197</v>
      </c>
      <c r="E117" s="52" t="s">
        <v>201</v>
      </c>
      <c r="F117" s="2" t="s">
        <v>36</v>
      </c>
      <c r="G117" s="13" t="s">
        <v>202</v>
      </c>
    </row>
    <row r="118" spans="1:7" x14ac:dyDescent="0.25">
      <c r="A118" s="14" t="s">
        <v>137</v>
      </c>
      <c r="B118" s="14" t="s">
        <v>144</v>
      </c>
      <c r="C118" s="35" t="s">
        <v>36</v>
      </c>
      <c r="D118" s="10" t="s">
        <v>197</v>
      </c>
      <c r="E118" s="52" t="s">
        <v>36</v>
      </c>
      <c r="F118" s="2" t="s">
        <v>36</v>
      </c>
      <c r="G118" s="13" t="s">
        <v>202</v>
      </c>
    </row>
    <row r="119" spans="1:7" x14ac:dyDescent="0.25">
      <c r="A119" s="14" t="s">
        <v>138</v>
      </c>
      <c r="B119" s="14" t="s">
        <v>145</v>
      </c>
      <c r="C119" s="35" t="s">
        <v>36</v>
      </c>
      <c r="D119" s="10" t="s">
        <v>197</v>
      </c>
      <c r="E119" s="52" t="s">
        <v>36</v>
      </c>
      <c r="F119" s="2" t="s">
        <v>36</v>
      </c>
      <c r="G119" s="13" t="s">
        <v>202</v>
      </c>
    </row>
    <row r="120" spans="1:7" x14ac:dyDescent="0.25">
      <c r="A120" s="14" t="s">
        <v>139</v>
      </c>
      <c r="B120" s="14" t="s">
        <v>146</v>
      </c>
      <c r="C120" s="35" t="s">
        <v>36</v>
      </c>
      <c r="D120" s="10" t="s">
        <v>197</v>
      </c>
      <c r="E120" s="52" t="s">
        <v>36</v>
      </c>
      <c r="F120" s="2" t="s">
        <v>36</v>
      </c>
      <c r="G120" s="13" t="s">
        <v>202</v>
      </c>
    </row>
    <row r="121" spans="1:7" x14ac:dyDescent="0.25">
      <c r="A121" s="14">
        <v>203032019700</v>
      </c>
      <c r="B121" s="14" t="s">
        <v>147</v>
      </c>
      <c r="C121" s="35" t="s">
        <v>36</v>
      </c>
      <c r="D121" s="10" t="s">
        <v>197</v>
      </c>
      <c r="E121" s="52" t="s">
        <v>201</v>
      </c>
      <c r="F121" s="53" t="s">
        <v>201</v>
      </c>
      <c r="G121" s="13" t="s">
        <v>202</v>
      </c>
    </row>
    <row r="122" spans="1:7" x14ac:dyDescent="0.25">
      <c r="A122" s="56" t="s">
        <v>228</v>
      </c>
      <c r="B122" s="14" t="s">
        <v>148</v>
      </c>
      <c r="C122" s="35" t="s">
        <v>36</v>
      </c>
      <c r="D122" s="10" t="s">
        <v>197</v>
      </c>
      <c r="E122" s="52" t="s">
        <v>201</v>
      </c>
      <c r="F122" s="53" t="s">
        <v>201</v>
      </c>
      <c r="G122" s="13" t="s">
        <v>202</v>
      </c>
    </row>
    <row r="123" spans="1:7" x14ac:dyDescent="0.25">
      <c r="A123" s="15" t="s">
        <v>15</v>
      </c>
      <c r="B123" s="15" t="s">
        <v>149</v>
      </c>
      <c r="C123" s="70" t="s">
        <v>203</v>
      </c>
      <c r="D123" s="8" t="s">
        <v>203</v>
      </c>
      <c r="E123" s="70" t="s">
        <v>203</v>
      </c>
      <c r="F123" s="8" t="s">
        <v>203</v>
      </c>
      <c r="G123" s="8" t="s">
        <v>203</v>
      </c>
    </row>
    <row r="124" spans="1:7" x14ac:dyDescent="0.25">
      <c r="A124" s="14" t="s">
        <v>150</v>
      </c>
      <c r="B124" s="14" t="s">
        <v>176</v>
      </c>
      <c r="C124" s="35" t="s">
        <v>36</v>
      </c>
      <c r="D124" s="10" t="s">
        <v>197</v>
      </c>
      <c r="E124" s="52" t="s">
        <v>36</v>
      </c>
      <c r="F124" s="2" t="s">
        <v>36</v>
      </c>
      <c r="G124" s="13" t="s">
        <v>202</v>
      </c>
    </row>
    <row r="125" spans="1:7" x14ac:dyDescent="0.25">
      <c r="A125" s="14" t="s">
        <v>151</v>
      </c>
      <c r="B125" s="14" t="s">
        <v>177</v>
      </c>
      <c r="C125" s="35" t="s">
        <v>36</v>
      </c>
      <c r="D125" s="10" t="s">
        <v>197</v>
      </c>
      <c r="E125" s="52" t="s">
        <v>36</v>
      </c>
      <c r="F125" s="2" t="s">
        <v>36</v>
      </c>
      <c r="G125" s="13" t="s">
        <v>202</v>
      </c>
    </row>
    <row r="126" spans="1:7" x14ac:dyDescent="0.25">
      <c r="A126" s="14" t="s">
        <v>152</v>
      </c>
      <c r="B126" s="14" t="s">
        <v>178</v>
      </c>
      <c r="C126" s="35" t="s">
        <v>36</v>
      </c>
      <c r="D126" s="10" t="s">
        <v>197</v>
      </c>
      <c r="E126" s="52" t="s">
        <v>36</v>
      </c>
      <c r="F126" s="2" t="s">
        <v>36</v>
      </c>
      <c r="G126" s="13" t="s">
        <v>202</v>
      </c>
    </row>
    <row r="127" spans="1:7" x14ac:dyDescent="0.25">
      <c r="A127" s="14" t="s">
        <v>153</v>
      </c>
      <c r="B127" s="14" t="s">
        <v>179</v>
      </c>
      <c r="C127" s="35" t="s">
        <v>201</v>
      </c>
      <c r="D127" s="12" t="s">
        <v>199</v>
      </c>
      <c r="E127" s="52" t="s">
        <v>201</v>
      </c>
      <c r="F127" s="2" t="s">
        <v>36</v>
      </c>
      <c r="G127" s="2" t="s">
        <v>36</v>
      </c>
    </row>
    <row r="128" spans="1:7" x14ac:dyDescent="0.25">
      <c r="A128" s="14" t="s">
        <v>154</v>
      </c>
      <c r="B128" s="14" t="s">
        <v>54</v>
      </c>
      <c r="C128" s="35" t="s">
        <v>36</v>
      </c>
      <c r="D128" s="12" t="s">
        <v>199</v>
      </c>
      <c r="E128" s="52" t="s">
        <v>36</v>
      </c>
      <c r="F128" s="2" t="s">
        <v>36</v>
      </c>
      <c r="G128" s="2" t="s">
        <v>36</v>
      </c>
    </row>
    <row r="129" spans="1:7" x14ac:dyDescent="0.25">
      <c r="A129" s="56" t="s">
        <v>228</v>
      </c>
      <c r="B129" s="14" t="s">
        <v>180</v>
      </c>
      <c r="C129" s="35" t="s">
        <v>36</v>
      </c>
      <c r="D129" s="12" t="s">
        <v>199</v>
      </c>
      <c r="E129" s="52" t="s">
        <v>201</v>
      </c>
      <c r="F129" s="2" t="s">
        <v>36</v>
      </c>
      <c r="G129" s="2" t="s">
        <v>36</v>
      </c>
    </row>
    <row r="130" spans="1:7" x14ac:dyDescent="0.25">
      <c r="A130" s="14">
        <v>203032019700</v>
      </c>
      <c r="B130" s="14" t="s">
        <v>147</v>
      </c>
      <c r="C130" s="35" t="s">
        <v>36</v>
      </c>
      <c r="D130" s="12" t="s">
        <v>199</v>
      </c>
      <c r="E130" s="52" t="s">
        <v>201</v>
      </c>
      <c r="F130" s="2" t="s">
        <v>36</v>
      </c>
      <c r="G130" s="2" t="s">
        <v>36</v>
      </c>
    </row>
    <row r="131" spans="1:7" x14ac:dyDescent="0.25">
      <c r="A131" s="14" t="s">
        <v>155</v>
      </c>
      <c r="B131" s="14" t="s">
        <v>181</v>
      </c>
      <c r="C131" s="35" t="s">
        <v>36</v>
      </c>
      <c r="D131" s="12" t="s">
        <v>199</v>
      </c>
      <c r="E131" s="52" t="s">
        <v>36</v>
      </c>
      <c r="F131" s="2" t="s">
        <v>36</v>
      </c>
      <c r="G131" s="2" t="s">
        <v>36</v>
      </c>
    </row>
    <row r="132" spans="1:7" x14ac:dyDescent="0.25">
      <c r="A132" s="56" t="s">
        <v>229</v>
      </c>
      <c r="B132" s="14" t="s">
        <v>51</v>
      </c>
      <c r="C132" s="35" t="s">
        <v>36</v>
      </c>
      <c r="D132" s="12" t="s">
        <v>199</v>
      </c>
      <c r="E132" s="52" t="s">
        <v>36</v>
      </c>
      <c r="F132" s="2" t="s">
        <v>36</v>
      </c>
      <c r="G132" s="2" t="s">
        <v>36</v>
      </c>
    </row>
    <row r="133" spans="1:7" x14ac:dyDescent="0.25">
      <c r="A133" s="14" t="s">
        <v>156</v>
      </c>
      <c r="B133" s="14" t="s">
        <v>182</v>
      </c>
      <c r="C133" s="35" t="s">
        <v>36</v>
      </c>
      <c r="D133" s="12" t="s">
        <v>199</v>
      </c>
      <c r="E133" s="52" t="s">
        <v>36</v>
      </c>
      <c r="F133" s="2" t="s">
        <v>36</v>
      </c>
      <c r="G133" s="2" t="s">
        <v>36</v>
      </c>
    </row>
    <row r="134" spans="1:7" x14ac:dyDescent="0.25">
      <c r="A134" s="14" t="s">
        <v>157</v>
      </c>
      <c r="B134" s="14" t="s">
        <v>49</v>
      </c>
      <c r="C134" s="35" t="s">
        <v>36</v>
      </c>
      <c r="D134" s="12" t="s">
        <v>199</v>
      </c>
      <c r="E134" s="52" t="s">
        <v>36</v>
      </c>
      <c r="F134" s="2" t="s">
        <v>36</v>
      </c>
      <c r="G134" s="2" t="s">
        <v>36</v>
      </c>
    </row>
    <row r="135" spans="1:7" x14ac:dyDescent="0.25">
      <c r="A135" s="14" t="s">
        <v>158</v>
      </c>
      <c r="B135" s="14" t="s">
        <v>183</v>
      </c>
      <c r="C135" s="35" t="s">
        <v>36</v>
      </c>
      <c r="D135" s="12" t="s">
        <v>199</v>
      </c>
      <c r="E135" s="52" t="s">
        <v>201</v>
      </c>
      <c r="F135" s="2" t="s">
        <v>36</v>
      </c>
      <c r="G135" s="2" t="s">
        <v>36</v>
      </c>
    </row>
    <row r="136" spans="1:7" x14ac:dyDescent="0.25">
      <c r="A136" s="14" t="s">
        <v>159</v>
      </c>
      <c r="B136" s="14" t="s">
        <v>184</v>
      </c>
      <c r="C136" s="35" t="s">
        <v>36</v>
      </c>
      <c r="D136" s="12" t="s">
        <v>199</v>
      </c>
      <c r="E136" s="52" t="s">
        <v>36</v>
      </c>
      <c r="F136" s="2" t="s">
        <v>36</v>
      </c>
      <c r="G136" s="2" t="s">
        <v>36</v>
      </c>
    </row>
    <row r="137" spans="1:7" x14ac:dyDescent="0.25">
      <c r="A137" s="14" t="s">
        <v>160</v>
      </c>
      <c r="B137" s="14" t="s">
        <v>185</v>
      </c>
      <c r="C137" s="35" t="s">
        <v>36</v>
      </c>
      <c r="D137" s="12" t="s">
        <v>199</v>
      </c>
      <c r="E137" s="52" t="s">
        <v>36</v>
      </c>
      <c r="F137" s="2" t="s">
        <v>36</v>
      </c>
      <c r="G137" s="2" t="s">
        <v>36</v>
      </c>
    </row>
    <row r="138" spans="1:7" x14ac:dyDescent="0.25">
      <c r="A138" s="14" t="s">
        <v>161</v>
      </c>
      <c r="B138" s="14" t="s">
        <v>186</v>
      </c>
      <c r="C138" s="35" t="s">
        <v>36</v>
      </c>
      <c r="D138" s="12" t="s">
        <v>199</v>
      </c>
      <c r="E138" s="52" t="s">
        <v>36</v>
      </c>
      <c r="F138" s="2" t="s">
        <v>36</v>
      </c>
      <c r="G138" s="2" t="s">
        <v>36</v>
      </c>
    </row>
    <row r="139" spans="1:7" x14ac:dyDescent="0.25">
      <c r="A139" s="14" t="s">
        <v>162</v>
      </c>
      <c r="B139" s="14" t="s">
        <v>182</v>
      </c>
      <c r="C139" s="35" t="s">
        <v>36</v>
      </c>
      <c r="D139" s="12" t="s">
        <v>199</v>
      </c>
      <c r="E139" s="52" t="s">
        <v>36</v>
      </c>
      <c r="F139" s="2" t="s">
        <v>36</v>
      </c>
      <c r="G139" s="2" t="s">
        <v>36</v>
      </c>
    </row>
    <row r="140" spans="1:7" x14ac:dyDescent="0.25">
      <c r="A140" s="14" t="s">
        <v>163</v>
      </c>
      <c r="B140" s="14" t="s">
        <v>187</v>
      </c>
      <c r="C140" s="35" t="s">
        <v>36</v>
      </c>
      <c r="D140" s="12" t="s">
        <v>199</v>
      </c>
      <c r="E140" s="52" t="s">
        <v>36</v>
      </c>
      <c r="F140" s="2" t="s">
        <v>36</v>
      </c>
      <c r="G140" s="2" t="s">
        <v>36</v>
      </c>
    </row>
    <row r="141" spans="1:7" x14ac:dyDescent="0.25">
      <c r="A141" s="14" t="s">
        <v>164</v>
      </c>
      <c r="B141" s="14" t="s">
        <v>188</v>
      </c>
      <c r="C141" s="35" t="s">
        <v>36</v>
      </c>
      <c r="D141" s="12" t="s">
        <v>199</v>
      </c>
      <c r="E141" s="52" t="s">
        <v>36</v>
      </c>
      <c r="F141" s="2" t="s">
        <v>36</v>
      </c>
      <c r="G141" s="2" t="s">
        <v>36</v>
      </c>
    </row>
    <row r="142" spans="1:7" x14ac:dyDescent="0.25">
      <c r="A142" s="14" t="s">
        <v>165</v>
      </c>
      <c r="B142" s="14" t="s">
        <v>189</v>
      </c>
      <c r="C142" s="35" t="s">
        <v>36</v>
      </c>
      <c r="D142" s="10" t="s">
        <v>197</v>
      </c>
      <c r="E142" s="52" t="s">
        <v>36</v>
      </c>
      <c r="F142" s="2" t="s">
        <v>36</v>
      </c>
      <c r="G142" s="13" t="s">
        <v>202</v>
      </c>
    </row>
    <row r="143" spans="1:7" x14ac:dyDescent="0.25">
      <c r="A143" s="14" t="s">
        <v>166</v>
      </c>
      <c r="B143" s="14" t="s">
        <v>78</v>
      </c>
      <c r="C143" s="35" t="s">
        <v>36</v>
      </c>
      <c r="D143" s="10" t="s">
        <v>197</v>
      </c>
      <c r="E143" s="52" t="s">
        <v>201</v>
      </c>
      <c r="F143" s="2" t="s">
        <v>36</v>
      </c>
      <c r="G143" s="13" t="s">
        <v>202</v>
      </c>
    </row>
    <row r="144" spans="1:7" x14ac:dyDescent="0.25">
      <c r="A144" s="14" t="s">
        <v>167</v>
      </c>
      <c r="B144" s="14" t="s">
        <v>80</v>
      </c>
      <c r="C144" s="35" t="s">
        <v>36</v>
      </c>
      <c r="D144" s="10" t="s">
        <v>197</v>
      </c>
      <c r="E144" s="52" t="s">
        <v>36</v>
      </c>
      <c r="F144" s="2" t="s">
        <v>36</v>
      </c>
      <c r="G144" s="13" t="s">
        <v>202</v>
      </c>
    </row>
    <row r="145" spans="1:7" x14ac:dyDescent="0.25">
      <c r="A145" s="14" t="s">
        <v>168</v>
      </c>
      <c r="B145" s="14" t="s">
        <v>190</v>
      </c>
      <c r="C145" s="35" t="s">
        <v>36</v>
      </c>
      <c r="D145" s="12" t="s">
        <v>199</v>
      </c>
      <c r="E145" s="52" t="s">
        <v>36</v>
      </c>
      <c r="F145" s="2" t="s">
        <v>36</v>
      </c>
      <c r="G145" s="2" t="s">
        <v>36</v>
      </c>
    </row>
    <row r="146" spans="1:7" x14ac:dyDescent="0.25">
      <c r="A146" s="14" t="s">
        <v>169</v>
      </c>
      <c r="B146" s="14" t="s">
        <v>191</v>
      </c>
      <c r="C146" s="35" t="s">
        <v>36</v>
      </c>
      <c r="D146" s="12" t="s">
        <v>199</v>
      </c>
      <c r="E146" s="52" t="s">
        <v>36</v>
      </c>
      <c r="F146" s="2" t="s">
        <v>36</v>
      </c>
      <c r="G146" s="2" t="s">
        <v>36</v>
      </c>
    </row>
    <row r="147" spans="1:7" x14ac:dyDescent="0.25">
      <c r="A147" s="14" t="s">
        <v>170</v>
      </c>
      <c r="B147" s="14" t="s">
        <v>192</v>
      </c>
      <c r="C147" s="35" t="s">
        <v>36</v>
      </c>
      <c r="D147" s="12" t="s">
        <v>199</v>
      </c>
      <c r="E147" s="52" t="s">
        <v>36</v>
      </c>
      <c r="F147" s="2" t="s">
        <v>36</v>
      </c>
      <c r="G147" s="2" t="s">
        <v>36</v>
      </c>
    </row>
    <row r="148" spans="1:7" x14ac:dyDescent="0.25">
      <c r="A148" s="14" t="s">
        <v>171</v>
      </c>
      <c r="B148" s="14" t="s">
        <v>187</v>
      </c>
      <c r="C148" s="35" t="s">
        <v>36</v>
      </c>
      <c r="D148" s="12" t="s">
        <v>199</v>
      </c>
      <c r="E148" s="52" t="s">
        <v>36</v>
      </c>
      <c r="F148" s="2" t="s">
        <v>36</v>
      </c>
      <c r="G148" s="2" t="s">
        <v>36</v>
      </c>
    </row>
    <row r="149" spans="1:7" x14ac:dyDescent="0.25">
      <c r="A149" s="14" t="s">
        <v>172</v>
      </c>
      <c r="B149" s="14" t="s">
        <v>193</v>
      </c>
      <c r="C149" s="35" t="s">
        <v>36</v>
      </c>
      <c r="D149" s="10" t="s">
        <v>197</v>
      </c>
      <c r="E149" s="52" t="s">
        <v>36</v>
      </c>
      <c r="F149" s="2" t="s">
        <v>36</v>
      </c>
      <c r="G149" s="13" t="s">
        <v>202</v>
      </c>
    </row>
    <row r="150" spans="1:7" x14ac:dyDescent="0.25">
      <c r="A150" s="14" t="s">
        <v>173</v>
      </c>
      <c r="B150" s="14" t="s">
        <v>194</v>
      </c>
      <c r="C150" s="35" t="s">
        <v>36</v>
      </c>
      <c r="D150" s="10" t="s">
        <v>197</v>
      </c>
      <c r="E150" s="52" t="s">
        <v>36</v>
      </c>
      <c r="F150" s="2" t="s">
        <v>36</v>
      </c>
      <c r="G150" s="13" t="s">
        <v>202</v>
      </c>
    </row>
    <row r="151" spans="1:7" x14ac:dyDescent="0.25">
      <c r="A151" s="14" t="s">
        <v>174</v>
      </c>
      <c r="B151" s="14" t="s">
        <v>195</v>
      </c>
      <c r="C151" s="35" t="s">
        <v>36</v>
      </c>
      <c r="D151" s="12" t="s">
        <v>199</v>
      </c>
      <c r="E151" s="52" t="s">
        <v>36</v>
      </c>
      <c r="F151" s="2" t="s">
        <v>36</v>
      </c>
      <c r="G151" s="2" t="s">
        <v>36</v>
      </c>
    </row>
    <row r="152" spans="1:7" x14ac:dyDescent="0.25">
      <c r="A152" s="14" t="s">
        <v>175</v>
      </c>
      <c r="B152" s="14" t="s">
        <v>196</v>
      </c>
      <c r="C152" s="35" t="s">
        <v>201</v>
      </c>
      <c r="D152" s="12" t="s">
        <v>199</v>
      </c>
      <c r="E152" s="52" t="s">
        <v>201</v>
      </c>
      <c r="F152" s="2" t="s">
        <v>36</v>
      </c>
      <c r="G152" s="2" t="s">
        <v>36</v>
      </c>
    </row>
  </sheetData>
  <mergeCells count="9">
    <mergeCell ref="A1:G1"/>
    <mergeCell ref="I7:N8"/>
    <mergeCell ref="I9:N9"/>
    <mergeCell ref="I10:N10"/>
    <mergeCell ref="I11:N11"/>
    <mergeCell ref="I12:N12"/>
    <mergeCell ref="I13:N13"/>
    <mergeCell ref="I14:N14"/>
    <mergeCell ref="I15:N15"/>
  </mergeCells>
  <conditionalFormatting sqref="D3:D152">
    <cfRule type="cellIs" dxfId="1" priority="2" operator="equal">
      <formula>"MISSING"</formula>
    </cfRule>
    <cfRule type="cellIs" dxfId="0" priority="3" operator="equal">
      <formula>"SHOWN"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Updated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MUHAMMAD WAQAR</cp:lastModifiedBy>
  <dcterms:created xsi:type="dcterms:W3CDTF">2023-12-27T06:47:57Z</dcterms:created>
  <dcterms:modified xsi:type="dcterms:W3CDTF">2023-12-31T21:16:58Z</dcterms:modified>
</cp:coreProperties>
</file>